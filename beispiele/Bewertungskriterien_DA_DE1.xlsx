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https://hftm.sharepoint.com/sites/bb/Freigegebene Dokumente/General/DA Prozess/2026/04_Bewertung/"/>
    </mc:Choice>
  </mc:AlternateContent>
  <xr:revisionPtr revIDLastSave="0" documentId="8_{DD637090-17D4-5E4C-8CF7-02D124D999A7}" xr6:coauthVersionLast="47" xr6:coauthVersionMax="47" xr10:uidLastSave="{00000000-0000-0000-0000-000000000000}"/>
  <workbookProtection workbookAlgorithmName="SHA-512" workbookHashValue="kraKk47oMhqthuCNCD8hoRTyvN8R/S/MVjLBlpII/99xcbkfWbKLoL8Hks3o0oR40j0OE/QiY4sXD8ULznbMww==" workbookSaltValue="JWKdC4+GFJ2Yj3jEVEoIHg==" workbookSpinCount="100000" lockStructure="1"/>
  <bookViews>
    <workbookView xWindow="2600" yWindow="2600" windowWidth="28800" windowHeight="15280" xr2:uid="{A58177B8-FE29-4239-BFED-7ABEFB9CCB3B}"/>
  </bookViews>
  <sheets>
    <sheet name="Bewertung" sheetId="1" r:id="rId1"/>
    <sheet name="Feebackformular" sheetId="2" r:id="rId2"/>
  </sheets>
  <definedNames>
    <definedName name="_xlnm.Print_Area" localSheetId="0">Bewertung!$A$1:$K$46</definedName>
    <definedName name="_xlnm.Print_Titles" localSheetId="0">Bewertung!$7:$8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6" i="2" l="1"/>
  <c r="B5" i="2"/>
  <c r="B4" i="2"/>
  <c r="B3" i="2"/>
  <c r="D46" i="1"/>
  <c r="B46" i="1"/>
  <c r="D29" i="1"/>
  <c r="B29" i="1"/>
  <c r="D22" i="1"/>
  <c r="B22" i="1"/>
  <c r="F22" i="1" l="1"/>
  <c r="C13" i="2" s="1"/>
  <c r="F46" i="1"/>
  <c r="C15" i="2" s="1"/>
  <c r="F29" i="1"/>
  <c r="C14" i="2" s="1"/>
  <c r="C16" i="2" s="1"/>
</calcChain>
</file>

<file path=xl/sharedStrings.xml><?xml version="1.0" encoding="utf-8"?>
<sst xmlns="http://schemas.openxmlformats.org/spreadsheetml/2006/main" count="259" uniqueCount="233">
  <si>
    <t>Kriterium</t>
  </si>
  <si>
    <t>Max.
Punkte</t>
  </si>
  <si>
    <t>Vorgehen</t>
  </si>
  <si>
    <t>Es wurden alle Termine eingehalten</t>
  </si>
  <si>
    <t>Maximal 1 Termine wurden nicht eingehalten, alle anderen schon.</t>
  </si>
  <si>
    <t>Maximal 2 Termine wurden nicht eingehalten, alle anderen schon.</t>
  </si>
  <si>
    <t>Maximal 3 Termine wurden nicht eingehalten, alle anderen schon.</t>
  </si>
  <si>
    <t>Es wurden mehr als 3 Termine nicht einhalten und/oder die verspätete Abgabe ist nicht begründet und nicht nachvollziehbar.</t>
  </si>
  <si>
    <t>Es wurden keine Termine eingehalten.</t>
  </si>
  <si>
    <r>
      <rPr>
        <b/>
        <sz val="10"/>
        <color theme="1"/>
        <rFont val="Arial Narrow"/>
        <family val="2"/>
      </rPr>
      <t>Unterschriften</t>
    </r>
    <r>
      <rPr>
        <sz val="10"/>
        <color theme="1"/>
        <rFont val="Arial Narrow"/>
        <family val="2"/>
      </rPr>
      <t xml:space="preserve">
 • Projektauftrag
 • Pflichtenheft
 • Originalitätserklärung
 • Monetärer Nutzen</t>
    </r>
  </si>
  <si>
    <t>Alle Unterschriften sind zum vorgegebenen Termin vorhanden.</t>
  </si>
  <si>
    <t>Alle Unterschriften sind vorhanden, teilweise zu spät.</t>
  </si>
  <si>
    <t>Es fehlt maximal eine Unterschrift, die anderen sind zum vorgegebenen Termin vorhanden.</t>
  </si>
  <si>
    <t>Es fehlen maximal zwei Unterschriften, die anderen sind zum vorgegebenen Termin vorhanden.</t>
  </si>
  <si>
    <t>Es fehlen mehr als zwei Unterschriften, die anderen sind zum vorgegebenen Termin vorhanden.</t>
  </si>
  <si>
    <t>Es fehlen alle Unterschriften</t>
  </si>
  <si>
    <r>
      <rPr>
        <b/>
        <sz val="10"/>
        <color theme="1"/>
        <rFont val="Arial Narrow"/>
        <family val="2"/>
      </rPr>
      <t>Systems Engineering: Ist-Analyse</t>
    </r>
    <r>
      <rPr>
        <sz val="10"/>
        <color theme="1"/>
        <rFont val="Arial Narrow"/>
        <family val="2"/>
      </rPr>
      <t xml:space="preserve">
Sinnvoll können u.a. sein:
Grund für Anstoss, erste Anforderungen, Systemabgrenzung, Projektabgrenzung, erste Aufwandabschätzungen zu Beginn, Gestaltungsfreiraum definieren, Ursachen- und Wirkungsanalyse, Stärken und Schwächen</t>
    </r>
  </si>
  <si>
    <t>Die Ausgangslage ist vertieft und ausführlich bearbeitet und dargelegt.</t>
  </si>
  <si>
    <t>Die Ausgangslage ist vollständig und in guter Qualität beschrieben.</t>
  </si>
  <si>
    <t>Die Ausgangslage ist korrekt erfasst, weist kleine Lücken auf und/oder ist nur oberflächlich beschrieben.</t>
  </si>
  <si>
    <t>Die Ausgangslage weist deutliche Lücken auf, die Zusammenhänge sind nicht schlüssig erklärt und/oder sind teilweise unverständlich erklärt.</t>
  </si>
  <si>
    <t>Die Ausgangslage ist mangelhaft, die Problemstellung nicht klar erfasst und abgegrenzt und/oder die Beschreibung ist nicht nachvollziehbar.</t>
  </si>
  <si>
    <t>Die Ausgangslage ist nicht beschrieben.</t>
  </si>
  <si>
    <t>Systems Engineering: Zieldefinition</t>
  </si>
  <si>
    <t>Die Ziele decken alle Problembereiche ab, sind kategorisiert und erlauben eine breite Palette von Lösungsideen. Sie sind SMART und lösungsneutral formuliert.</t>
  </si>
  <si>
    <t>Die Ziele decken alle Problembereiche ab, sind kategorisiert und sind SMART formuliert. Es ist eine Lösungspräferenz spürbar.</t>
  </si>
  <si>
    <t>Die Ziele decken nur Teile der Problembereiche ab und sind kategorisiert. Sie sind SMART formuliert.</t>
  </si>
  <si>
    <t>Die Ziele weisen nur einen geringen Bezug zu den Problembereichen auf und können fast nicht für die Lösungsauswahl verwendet werden. Sie sind nur teilweise SMART formuliert.</t>
  </si>
  <si>
    <t xml:space="preserve">Die Ziele sind mangelhaft, wirken zufällig gewählt und haben nichts mit den Problembereichen der Aufgabe zu tun. Die Formulierung ist unvollständig. </t>
  </si>
  <si>
    <t>Es sind keine Ziele beschrieben.</t>
  </si>
  <si>
    <t>Systems Engineering: Ideengenerierung und Lösungsvarianten</t>
  </si>
  <si>
    <t>Ideen werden systematisch und mit sinnvollen Methoden gekonnt generiert und zusammengestellt. Daraus werden mehrere Lösungsvarianten erarbeitet und nachvoll-ziehbar beschrieben.</t>
  </si>
  <si>
    <t>Die Ideen passen zu den Zielen und wurden nachvollziehbar erarbeitet. Es gibt eine Auswahl von Ideen und sie sind in guter Qualität beschrieben. Es werden mehrere Lösungsvarianten erarbeitet und beschrieben.</t>
  </si>
  <si>
    <t>Die Ideen passen nur teilweise zu den Zielen. Die Systematik der Lösungsfindung weist Lücken auf und ist nur teilweise nachvollziehbar.</t>
  </si>
  <si>
    <t>Der Bezug zwischen Ideen, Lösungen und den zu erreichenden Zielen ist teilweise nicht nachvollziehbar. Die Methoden sind nur teilweise sinnvoll gewählt.</t>
  </si>
  <si>
    <t>Der Bezug zwischen Ideen, Lösungen und den zu erreichenden Zielen ist praktisch nicht nachvollziehbar. Die Lösungsfindung findet ohne erkennbare Methoden statt.</t>
  </si>
  <si>
    <t>Es wird nicht über Lösungs-alternativen nachgedacht.</t>
  </si>
  <si>
    <r>
      <rPr>
        <b/>
        <sz val="10"/>
        <color theme="1"/>
        <rFont val="Arial Narrow"/>
        <family val="2"/>
      </rPr>
      <t>Systems Engineering: Bewertung und Entscheidung für eine Lösungsvariante</t>
    </r>
    <r>
      <rPr>
        <sz val="10"/>
        <color theme="1"/>
        <rFont val="Arial Narrow"/>
        <family val="2"/>
      </rPr>
      <t xml:space="preserve">
</t>
    </r>
  </si>
  <si>
    <t>Es findet eine ausgezeichnete und vertiefte Auseinander-setzung mit den Zielen und den möglichen Lösungen statt. Die Gewichtung der Ziele und die Bewertungsmassstäbe sind nachvollziebar. Der Entscheid ist begründet.</t>
  </si>
  <si>
    <t>Die Ziele sind gewichtet und die Bewertungen sind beschrieben. Es wurden sinnvolle Methoden zur Erarbeitung der Entscheidung eingesetzt.</t>
  </si>
  <si>
    <t>Die Ziele sind gewichtet und die Bewertungen sind beschrieben. Die Methodik weist aber Lücken auf und die Entscheidung ist nur teilweise nachvollziehbar.</t>
  </si>
  <si>
    <t>Die Gewichtung der Ziele und/oder die Bewertung der Lösungen weist grössere Lücken auf. Die Entscheidung wirkt zufällig bzw. nicht systematisch erarbeitet.</t>
  </si>
  <si>
    <t>Es findet keine Bewertung von Lösungsvarianten statt.  Die Entscheidung für eine Lösung wirkt fremdgesteuert und nicht sachlich begründet.</t>
  </si>
  <si>
    <t>Nicht beurteilbar</t>
  </si>
  <si>
    <r>
      <rPr>
        <b/>
        <sz val="10"/>
        <color theme="1"/>
        <rFont val="Arial Narrow"/>
        <family val="2"/>
      </rPr>
      <t>Projektmanagement: Planung</t>
    </r>
    <r>
      <rPr>
        <sz val="10"/>
        <color theme="1"/>
        <rFont val="Arial Narrow"/>
        <family val="2"/>
      </rPr>
      <t xml:space="preserve">
 • Projektstrukturplan
 • Zeitplanung
 • Kostenplanung</t>
    </r>
  </si>
  <si>
    <t>Die Planung findet sehr strukturiert über die Definition der Arbeitspakete, eine umsichtige Zeitplanung und eine vollständige und nachvollziehbare Kostenschätzung statt.</t>
  </si>
  <si>
    <t>Die Planung findet über den Projektstrukturplan, eine nachvollziehbare Aufwandschätzung und eine vollständige Kostenschätzung statt. Die Systematik zur Entstehung der Planung ist erkennbar.</t>
  </si>
  <si>
    <t>Es ist eine Planung vorhanden, die aber nicht systematisch über Arbeitspakete und Ergebnisse abgeleitet wurde. Die Kostenplanung ist vorhanden und ist konsistent zur Zeitplanung.</t>
  </si>
  <si>
    <t>Es ist eine lückenhafte und oberflächliche Planung vorhanden. Die Kostenplanung ist nicht oder nur sehr lückenhaft vorhanden.</t>
  </si>
  <si>
    <t>Die Planung des Vorhabens ist mangelhaft, teilweise falsch oder nicht nachvollziehbar.</t>
  </si>
  <si>
    <t>Es ist keine Planung vorhanden.</t>
  </si>
  <si>
    <r>
      <rPr>
        <b/>
        <sz val="10"/>
        <color theme="1"/>
        <rFont val="Arial Narrow"/>
        <family val="2"/>
      </rPr>
      <t>Projektmanagement: Projektführung</t>
    </r>
    <r>
      <rPr>
        <sz val="10"/>
        <color theme="1"/>
        <rFont val="Arial Narrow"/>
        <family val="2"/>
      </rPr>
      <t xml:space="preserve">
 • Projektcontrolling
 • Protokollierung
 • Kommunikation mit Stakeholdern
 • Änderungsmanagement
</t>
    </r>
  </si>
  <si>
    <t>Das Projektcontrolling wurde mindestens wöchentlich nachgeführt, alle Besprechungen mit dem Bewerterteam und dem internen Betreuer protokolliert und es wurden Massnahmen abgeleitet. Die Kommunikation mit Stakeholdern und das Änderungsmanagement ist dokumentiert und Änderungen sind in die Planung zurückgeflossen.</t>
  </si>
  <si>
    <t>Das Projektcontrolling wurde regelmässig nachgeführt, alle Besprechungen mit dem Bewerterteam und dem internen Betreuer protokolliert und es wurden Massnahmen abgeleitet. Die Kommunikation mit Stakeholdern und das Änderungsmanagement ist dokumentiert.</t>
  </si>
  <si>
    <t>Das Projektcontolling wurde erkennbar 2x durchgeführt. Es wurden teilweise Massnahmen abgeleitet. Die Stakeholder wurden oberflächlich informiert. Es gibt nur ein oberflächliches Änderungsmanagement.</t>
  </si>
  <si>
    <t>Das Projektcontrolling weist grössere Lücken auf. Es wurden nur unvollständig Massnahmen aufgrund von Projektbesprechungen dokumentiert. Die Kommunikation mit Stakeholdern und das Änderungsmanagement ist nur lückenhaft dokumentiert.</t>
  </si>
  <si>
    <t>Das Projektcontrolling ist praktisch nicht dokumentiert und Protokolle sind oberflächlich und unvollständig. Der Kontakt zu Stakeholdern ist nicht nachvollziehbar und das Änderungsmanagement fehlerhaft und lückenhaft.</t>
  </si>
  <si>
    <r>
      <t xml:space="preserve">Betriebswirtschaft
</t>
    </r>
    <r>
      <rPr>
        <sz val="10"/>
        <color theme="1"/>
        <rFont val="Arial Narrow"/>
        <family val="2"/>
      </rPr>
      <t xml:space="preserve"> • Kalkulation / monetärer Nutzen
 • Qualitativer Nutzen</t>
    </r>
    <r>
      <rPr>
        <b/>
        <sz val="10"/>
        <color theme="1"/>
        <rFont val="Arial Narrow"/>
        <family val="2"/>
      </rPr>
      <t xml:space="preserve"> 
</t>
    </r>
  </si>
  <si>
    <t>Die Lösung ist kalkuliert und der qualitative Nutzen ausgezeichnet beschrieben.</t>
  </si>
  <si>
    <t>Die Lösung ist kalkuliert und der qualitative Nutzen gut beschrieben.</t>
  </si>
  <si>
    <t>Die Lösung ist kalkuliert und der qualitative Nutzen genügend beschrieben.</t>
  </si>
  <si>
    <t>Die Lösung ist kalkuliert und der qualitative Nutzen ungenügend beschrieben.</t>
  </si>
  <si>
    <t>Die Lösung ist kalkuliert und der qualitative Nutzen deutlich ungenügend beschrieben.</t>
  </si>
  <si>
    <t>Die Lösung ist nicht kalkuliert und es ist kein qualitativer Nutzen beschrieben.</t>
  </si>
  <si>
    <t>Selbstständigkeit</t>
  </si>
  <si>
    <t>Die Arbeit wird geführt, die Terminanfragen kommen vom Studierenden, fachliche Unterstützung oder Unterstützung im Vorgehen werden selbstständig organisiert, Gespräche sind vorbereitet, Pendenzen werden festgehalten und nachverfolgt.</t>
  </si>
  <si>
    <t>Der Studierende arbeitet grösstenteils selbstständig, Termine müssen teilweise angemahnt werden, Pendenzen werden weitstgehend festgehalten und nachverfolgt.</t>
  </si>
  <si>
    <t>Der Studierende arbeitet nur teilweise selbstständig, viele Termine müssen angemahnt werden, ein Pendenzenmanagement ist nur im Ansatz erkennbar, die Überprüfung von Pendenzen erfolgt nur auf Nachfrage durch die Betreuenden.</t>
  </si>
  <si>
    <t>Die Betreuenden müssen den Studierenden in seiner Arbeitsorganisation unterstützen und stark in seine Vorgehensweise eingreifen, damit die Arbeit auf Kurs bleibt. Der Studierende lässt sich aber führen.</t>
  </si>
  <si>
    <t>Die persönliche Organisation ist chaotisch, Termin werden nur auf Nachfrage organisiert, es wird keine Pendenzenliste geführt oder Pendenzen werden nicht konsequent abgearbeitet.</t>
  </si>
  <si>
    <t>Berücksichtigung von branchenspezifischen Vorgehensweisen</t>
  </si>
  <si>
    <t>Die Arbeit zeigt eine vollständige und präzise Berücksichtigung aller relevanten branchenspezifischen Vorgehensweisen. Es wird ein tiefes Verständnis der branchenspezifischen Standards, Normen und Best Practices demonstriert.</t>
  </si>
  <si>
    <t>Die Arbeit zeigt eine gründliche Berücksichtigung der wichtigsten branchenspezifischen Vorgehensweisen. Es wird ein solides Verständnis der relevanten Standards und Best Practices demonstriert.</t>
  </si>
  <si>
    <t>Die Arbeit zeigt eine angemessene Berücksichtigung der wichtigsten branchenspezifischen Vorgehensweisen. Das Verständnis der relevanten Standards und Best Practices ist solide, wenn auch nicht umfassend.</t>
  </si>
  <si>
    <t>Die Arbeit zeigt eine grundlegende, aber oberflächliche Berücksichtigung der branchenspezifischen Vorgehensweisen. Es fehlt ein tiefes Verständnis der relevanten Standards und Best Practices.</t>
  </si>
  <si>
    <t>Die Arbeit zeigt eine unzureichende oder fehlende Berücksichtigung der branchenspezifischen Vorgehensweisen. Es fehlt ein grundlegendes Verständnis der relevanten Standards und Best Practices.</t>
  </si>
  <si>
    <t>Lösung/Lieferobjekt/Produkt</t>
  </si>
  <si>
    <t>Produkt/Dienstleistung/Lieferobjekt</t>
  </si>
  <si>
    <t>Das Lieferobjekt zeigt eine hohe technische Genauigkeit und ein solides Verständnis der Materie. Das Lieferobjekt erweitert den Stand der Technik beim Auftraggeber.</t>
  </si>
  <si>
    <t>Das Lieferobjekt zeigt eine angemessene technische Genauigkeit und ein gutes Verständnis der Materie. Das Lieferobjekt kann mit einigen Überarbeitungen produktiv eingesetzt werden.</t>
  </si>
  <si>
    <t>Das Lieferobjekt zeigt grundlegende technische Genauigkeit, weist jedoch kleine Fehler und Schwachstellen auf. Das Lieferobjekt muss überarbeitet werden, damit es produktiv eingesetzt werden kann.</t>
  </si>
  <si>
    <t>Das Lieferobjekt zeigt eine unzureichende technische Genauigkeit und weist viele Fehler und Schwachstellen auf. In dieser Form ist das Lieferobjekt kaum brauchbar, allenfalls können einige Ideen für eine Nachfolgearbeit übernommen werden.</t>
  </si>
  <si>
    <t>Das Lieferobjekt ist unbrauchbar.</t>
  </si>
  <si>
    <t>Nachhaltigkeit</t>
  </si>
  <si>
    <t>Die Arbeit enthält eine tiefgehende und umfassende Analyse der drei Nachhaltigkeitsdimen-sionen. Die vorgeschlagenen Elemente zeigen klar messbare Verbesserungen in Bezug auf Nachhaltigkeit. Die Massnahmen sind praxisnah und umsetzbar.</t>
  </si>
  <si>
    <t>Die Arbeit enthält eine detaillierte Analyse der Nachhaltigkeitsdimen-sionen. Die Ansätze zur Förderung der Nachhaltigkeit sind durchdacht und fundiert. Die vorgeschlagenen Massnahmen sind realisierbar und praktikabel.</t>
  </si>
  <si>
    <t>Die Arbeit enthält eine angemessene Analyse der Nachhaltigkeitsdimen-sionen. Ev. werden nicht alle Dimensionen gleich stark beleuchtet. Die Ansätze zur Förderung der Nachhaltigkeit sind sinnvoll und nachvollziehbar. Die vorgeschlagenen Massnahmen sind grösstenteils umsetzbar.</t>
  </si>
  <si>
    <t>Die Arbeit enthält eine  grundlegende Analyse der Nachhaltigkeitsdimen-sionen, wobei wesentliche Aspekte fehlen. Die vorgeschlagenen Massnahmen zeigen nur eingeschränkte Verbesserungen in Bezug auf Nachhaltigkeit. Es bestehen aber Zweifel an der Umsetzbarkeit.</t>
  </si>
  <si>
    <t>Die Arbeit enthält eine unzureichende oder oberflächliche Analyse der Nachhaltigkeitsdimen-sionen. Die vorgeschlagenen Massnahmen zeigen keine erkennbaren Verbesserungen in Bezug auf Nachhaltigkeit. Die Massnahmen sind nicht realisierbar.</t>
  </si>
  <si>
    <t>Die Aspekte der Nachhaltigkeit wurden nicht beleuchtet.</t>
  </si>
  <si>
    <t>Innovation/Kreativität</t>
  </si>
  <si>
    <t>Das Lieferergebnis beinhaltet neue Ideen, die systematisch gesucht und gezielt in die Lösung eingearbeitet wurden. Die innovativen Elemente waren zu Beginn nicht offensichtlich.</t>
  </si>
  <si>
    <t>Die neuen Elemente der Lösung sind zwar recht offensichtlich, erforderten aber einige neue Ideen, wie sie in die Lösung integriert werden konnten.</t>
  </si>
  <si>
    <t>Ein Mix aus neuen Ideen und bewährter Entwicklungsarbeit mit traditionellen Elementen wurde in die Lösung integriert.</t>
  </si>
  <si>
    <t>In der Arbeit ist wenig Innovation und Kreativität erkennbar. Es wurde mehrheitlich mit traditionellen Elementen gearbeitet.</t>
  </si>
  <si>
    <t xml:space="preserve">In der Arbeit ist keine besondere Innovation erkennbar. Es wurde nach Kochbuch gearbeitet und </t>
  </si>
  <si>
    <t>Zielerreichung/Vollständigkeit</t>
  </si>
  <si>
    <t>Alle Ziele wurden erreicht und das Lieferobjekt ist vollständig.</t>
  </si>
  <si>
    <t>Alle Muss-Ziele wurden erreicht und mehr als 50%  der Kann-Ziele wurden erreicht. Mit einem Aufwand von wenigen Tagen kann die Arbeit fertiggestellt werden. Die Gründe sind nachvollziehbar.</t>
  </si>
  <si>
    <t>Mindestens 80% der Muss-Ziele wurden erreicht. Die Arbeit kann mit dem halben Aufwand der Diplomarbeit fertiggestellt werden.  Die Gründe sind nachvollziehbar.</t>
  </si>
  <si>
    <t>Mindestens 50% der Muss-Ziele wurden erreicht. Mit einem Aufwand von einem Monat (100%) kann die Arbeit fertiggestellt werden.  Die Gründe sind nachvollziehbar.</t>
  </si>
  <si>
    <t>Es wurden nur wenige Muss-Ziele erreicht, die Arbeit muss neu begonnen werden. Das Scheitern ist nachvollziehbar begründet.</t>
  </si>
  <si>
    <t>Eine Fertig-stellung der Arbeit ist nicht sinnvoll.</t>
  </si>
  <si>
    <t xml:space="preserve">Beherrschen der Materie
</t>
  </si>
  <si>
    <t>Dokumentation und Präsentation</t>
  </si>
  <si>
    <r>
      <t xml:space="preserve">Formalien im Bericht
</t>
    </r>
    <r>
      <rPr>
        <sz val="10"/>
        <color theme="1"/>
        <rFont val="Arial Narrow"/>
        <family val="2"/>
      </rPr>
      <t xml:space="preserve"> • Titelblatt
 • Kopf- und Fusszeilen
 • Seitenzahlen
 • Layoutvorgaben
 • Quellenangaben</t>
    </r>
  </si>
  <si>
    <t>Alle Elemente sind vollständig, sinnvoll und korrekt in Bezug auf den vermittelten Schulstoff und die Vorgaben in der Wegleitung umgesetzt.</t>
  </si>
  <si>
    <t>Nur 4 Elemente sind vollständig, sinnvoll und korrekt in Bezug auf den vermittelten Schulstoff und die Vorgaben in der Wegleitung umgesetzt.</t>
  </si>
  <si>
    <t>Nur 3 Elemente sind vollständig, sinnvoll und korrekt in Bezug auf den vermittelten Schulstoff und die Vorgaben in der Wegleitung umgesetzt.</t>
  </si>
  <si>
    <t>Nur 2 Elemente sind vollständig, sinnvoll und korrekt in Bezug auf den vermittelten Schulstoff und die Vorgaben in der Wegleitung umgesetzt.</t>
  </si>
  <si>
    <t>Nur 1 Element ist vollständig, sinnvoll und korrekt in Bezug auf den vermittelten Schulstoff und die Vorgaben in der Wegleitung umgesetzt.</t>
  </si>
  <si>
    <t>Nicht vorhanden</t>
  </si>
  <si>
    <r>
      <rPr>
        <b/>
        <sz val="10"/>
        <color theme="1"/>
        <rFont val="Arial Narrow"/>
        <family val="2"/>
      </rPr>
      <t>Sprachliche Richtigkeit</t>
    </r>
    <r>
      <rPr>
        <sz val="10"/>
        <color theme="1"/>
        <rFont val="Arial Narrow"/>
        <family val="2"/>
      </rPr>
      <t xml:space="preserve"> 
 • Orthografie
 • Grammatik
 • Interpunktion</t>
    </r>
  </si>
  <si>
    <t>Der Text ist sprachlich einwandfrei</t>
  </si>
  <si>
    <t>Der Text enhält vereinzelte Rechtschreibefehler, grammatikalische Unstimmigkeiten oder Kommafehler</t>
  </si>
  <si>
    <t>Rechtschreibe-, Grammatik und/oder Interpunktionsfehler fallen auf, beinträchtigen aber das Verständnis des Textes nicht.</t>
  </si>
  <si>
    <t>Rechtschreibe-, Grammatik und/oder Interpunktionsfehler fallen auf und beinträchtigen das Verständnis des Textes.</t>
  </si>
  <si>
    <t>Das Verständnis des Textes wird massiv durch Rechtschreibe-, Grammatik- und /oder Interpunktionsfehler beeinträchtigt.</t>
  </si>
  <si>
    <r>
      <rPr>
        <b/>
        <sz val="10"/>
        <color theme="1"/>
        <rFont val="Arial Narrow"/>
        <family val="2"/>
      </rPr>
      <t>Verständlichkeit (Sprachstil)</t>
    </r>
    <r>
      <rPr>
        <sz val="10"/>
        <color theme="1"/>
        <rFont val="Arial Narrow"/>
        <family val="2"/>
      </rPr>
      <t xml:space="preserve">
 • Einfachheit
 • Gliederung/Ordnung
 • Kürze/Prägnanz 
 • Anregende Zusätze</t>
    </r>
  </si>
  <si>
    <t>Der Wortschatz ist dem Thema angemessen, die Sätze eher kurz. Der Text ist logisch aufgebaut durch den sinnvollen Einsatz von Konnektoren und einer klaren äusseren Gliederung. Die Aussagen sind ohne Umschweife auf den Punkt gebracht. Aussagen werden durch anschauliche Beispiele verdeutlicht.</t>
  </si>
  <si>
    <t>Der Wortschatz ist meist dem Thema angemessen, manchmal etwas zu simpel/zu kompliziert; die Sätze meist kurz. Der Text ist logisch aufgebaut durch den meist sinnvollen Einsatz von Konnektoren, die äussere Gliederung ist meist klar. Die Aussagen sind grösstenteils ohne Umschweife auf den Punkt gebracht. Aussagen werden manchmal durch anschauliche Beispiele verdeutlicht.</t>
  </si>
  <si>
    <t>Der Wortschatz ist tendenziell zu simpel/zu kompliziert; die Sätze sind manchmal langfädig. Die innere Logik des Textes ist meist klar, wobei das Verständnis z.T. durch fehlende Konnektoren erschwert wird. Abschnitte sin machmal zu lang/zu kurz. Die Aussagen sind z.T. etwas abschweifend oder unklar, da sie zu wenig veranschaulicht werden.</t>
  </si>
  <si>
    <t>Der Wortschaft ist oftmals nicht dem Thema angepasst, die Sätze sind zu lang und verschachtelt. Die innere Logik  ist häufig unklar, da keine oder falsche Konnektoren eingesetzt werden. Die äussere Gliederung ist z.T. nicht sinnvoll. Aussagen sind z.T. nicht zu Ende gedacht oder sind durch fehlende Veranschaulichung unklar oder ambivalent.</t>
  </si>
  <si>
    <t>Die Wortwahl ist völlig unpassend, die Satzkonstruktion so verschachtelt, dass das Textverständnis beeinträchtigt wird. Konnektoren werden kaum verwendet, die innere Logik des Textes ist nicht nachvollziehbar. Die äussere Gliederung ergibt keinen Sinn. Die verwendeten anregenden Zusätze sind unpassend bzw. führen zu Verwirrung. Aussagen werden gar nicht veranschaulicht.</t>
  </si>
  <si>
    <r>
      <rPr>
        <b/>
        <sz val="10"/>
        <color theme="1"/>
        <rFont val="Arial Narrow"/>
        <family val="2"/>
      </rPr>
      <t>Darstellung der Resultate</t>
    </r>
    <r>
      <rPr>
        <sz val="10"/>
        <color theme="1"/>
        <rFont val="Arial Narrow"/>
        <family val="2"/>
      </rPr>
      <t xml:space="preserve">
 • Klarheit und Struktur
 • Präzision der Darstellung
 • Visualisierung
 • Fehlerfreiheit</t>
    </r>
  </si>
  <si>
    <t>Die Resultate werden in höchster Klarheit präsentiert, sind logisch strukturiert und für den Leser leicht verständlich.
Die Darstellung der Ergebnisse ist umfassend und präzise, berücksichtigt alle relevanten Daten und Analysen.
Die Resultate werden durch hochwertige Grafiken, Diagramme und Tabellen unterstützt, die den Inhalt optimal verdeutlichen.
Die Darstellung der Resultate ist fehlerfrei, sowohl in Bezug auf die Daten als auch auf die sprachliche Formulierung.</t>
  </si>
  <si>
    <t>Die Resultate werden klar und verständlich präsentiert, mit einer logischen Struktur, die den Leser gut durch die Ergebnisse führt.
Die Darstellung der Ergebnisse ist gründlich und korrekt, alle wesentlichen Daten und Analysen werden berücksichtigt.
Die Resultate werden durch gut gewählte Grafiken, Diagramme und Tabellen unterstützt, die den Inhalt klar und präzise vermitteln.
Die Darstellung der Resultate enthält nur minimale Fehler in den Daten oder der sprachlichen Formulierung.</t>
  </si>
  <si>
    <t>Die Resultate werden verständlich und nachvollziehbar dargestellt, auch wenn die Struktur teilweise verbessert werden könnte.
Die Darstellung der Ergebnisse ist solide, jedoch möglicherweise nicht ganz vollständig oder präzise.
Die Resultate werden durch passende Grafiken, Diagramme und Tabellen unterstützt, auch wenn die Darstellung gelegentlich unklar sein könnte.
Die Darstellung der Resultate enthält einige Fehler in den Daten oder der sprachlichen Formulierung, die jedoch den Gesamteindruck nur geringfügig beeinträchtigen.</t>
  </si>
  <si>
    <t>Die Resultate werden verständlich, aber mit erheblichen Schwächen in der Struktur und Klarheit präsentiert.
Die Darstellung der Ergebnisse ist ausreichend, jedoch fehlen wesentliche Daten oder Analysen, oder sie sind ungenau.
Die Visualisierung durch Grafiken, Diagramme und Tabellen ist vorhanden, jedoch nicht optimal gestaltet oder unvollständig.
Die Darstellung der Resultate enthält mehrere Fehler in den Daten oder der sprachlichen Formulierung, die den Lesefluss und das Verständnis beeinträchtigen.</t>
  </si>
  <si>
    <t>Die Resultate sind unklar, schlecht strukturiert und für den Leser schwer verständlich.
Die Darstellung der Ergebnisse ist unvollständig oder fehlerhaft, wesentliche Daten und Analysen fehlen oder sind falsch.
Die Visualisierung durch Grafiken, Diagramme und Tabellen ist unzureichend, fehlerhaft oder fehlt ganz.
Die Darstellung der Resultate ist stark fehlerbehaftet, sowohl in den Daten als auch in der sprachlichen Formulierung, was das Verständnis erheblich beeinträchtigt.</t>
  </si>
  <si>
    <r>
      <t xml:space="preserve">Verzeichnisse
</t>
    </r>
    <r>
      <rPr>
        <sz val="10"/>
        <color theme="1"/>
        <rFont val="Arial Narrow"/>
        <family val="2"/>
      </rPr>
      <t xml:space="preserve"> • Inhaltsverzeichnis</t>
    </r>
    <r>
      <rPr>
        <b/>
        <sz val="10"/>
        <color theme="1"/>
        <rFont val="Arial Narrow"/>
        <family val="2"/>
      </rPr>
      <t xml:space="preserve">
</t>
    </r>
    <r>
      <rPr>
        <sz val="10"/>
        <color theme="1"/>
        <rFont val="Arial Narrow"/>
        <family val="2"/>
      </rPr>
      <t xml:space="preserve"> • Abbildungsverzeichnis
 • Tabellenverzeichnis
 • Abkürzungsverzeichnis / Glossar
 • Quellen- und Literaturverzeichnis</t>
    </r>
  </si>
  <si>
    <t>Alle Verzeichnisse sind vorhanden und korrekt.</t>
  </si>
  <si>
    <t>Nur 4 Verzeichnisse sind vorhanden und korrekt.</t>
  </si>
  <si>
    <t>Nur 3 Verzeichnisse sind vorhanden und korrekt.</t>
  </si>
  <si>
    <t>Nur 2 Verzeichnisse sind vorhanden und korrekt.</t>
  </si>
  <si>
    <t>Nur 1 Verzeichnis ist vorhanden und korrekt.</t>
  </si>
  <si>
    <r>
      <t xml:space="preserve">Management Summary
</t>
    </r>
    <r>
      <rPr>
        <sz val="10"/>
        <color theme="1"/>
        <rFont val="Arial Narrow"/>
        <family val="2"/>
      </rPr>
      <t xml:space="preserve"> • Problemstellung
 • Vorgehen
 • Lösung
 • Einschätzung der Lösung
 • Nutzen der Arbeit</t>
    </r>
    <r>
      <rPr>
        <b/>
        <sz val="10"/>
        <color theme="1"/>
        <rFont val="Arial Narrow"/>
        <family val="2"/>
      </rPr>
      <t xml:space="preserve">
</t>
    </r>
    <r>
      <rPr>
        <sz val="10"/>
        <color theme="1"/>
        <rFont val="Arial Narrow"/>
        <family val="2"/>
      </rPr>
      <t xml:space="preserve"> • Ausblick</t>
    </r>
  </si>
  <si>
    <t>Alle Elemente sind verständlich beschrieben.</t>
  </si>
  <si>
    <t>Nur 4 Elemente sind verständlich beschrieben.</t>
  </si>
  <si>
    <t>Nur 3 Elemente sind verständlich beschrieben.</t>
  </si>
  <si>
    <t>Nur 2 Elemente sind verständlich beschrieben.</t>
  </si>
  <si>
    <t>Nur 1 Element ist verständlich beschrieben.</t>
  </si>
  <si>
    <t xml:space="preserve">Reflexion und Ausblick bezogen auf die Lösung
</t>
  </si>
  <si>
    <t>Die eigene Beurteilung der erarbeiteten Lösung ist tiefgehend, fundiert und zeigt ein exzellentes Verständnis der Stärken und Schwächen der Lösung. Die Argumentation ist klar, logisch und umfassend.
Der Ausblick ist sowohl realistisch als auch visionär, zeigt klare Perspektiven für die Weiterentwicklung des Themas und identifiziert potenzielle Herausforderungen und Chancen in der praktischen Umsetzung.</t>
  </si>
  <si>
    <t>Die eigene Beurteilung der Lösung ist gründlich und fundiert, mit einer klaren Argumentation der Stärken und Schwächen. Die Bewertung zeigt ein gutes Verständnis der Thematik.
Der Ausblick ist realistisch und bietet sinnvolle Perspektiven für die Weiterentwicklung des Themas, wobei potenzielle Herausforderungen angesprochen werden.</t>
  </si>
  <si>
    <t>Die eigene Beurteilung der Lösung ist angemessen und nachvollziehbar, jedoch möglicherweise oberflächlicher oder weniger detailliert. Die Argumentation ist grundsätzlich stimmig, aber nicht immer vollständig.
Der Ausblick bietet sinnvolle, aber weniger innovative Perspektiven für die Weiterentwicklung des Themas und erkennt einige potenzielle Herausforderungen.</t>
  </si>
  <si>
    <t>Die eigene Beurteilung der Lösung ist grundlegend, jedoch oberflächlich und zeigt Lücken im Verständnis der Stärken und Schwächen der Lösung.
Der Ausblick ist eher vage und bietet nur begrenzte Perspektiven für die Weiterentwicklung des Themas, ohne auf potenzielle Herausforderungen einzugehen.</t>
  </si>
  <si>
    <t xml:space="preserve"> Die eigene Beurteilung der Lösung fehlt fast vollständig oder ist unzureichend, ohne erkennbare Analyse der Stärken und Schwächen.
Der Ausblick ist unklar, realitätsfern oder fehlt ganz, ohne sinnvolle Perspektiven für die Weiterentwicklung des Themas.</t>
  </si>
  <si>
    <r>
      <t xml:space="preserve">Persönliche Reflexion
</t>
    </r>
    <r>
      <rPr>
        <sz val="10"/>
        <color theme="1"/>
        <rFont val="Arial Narrow"/>
        <family val="2"/>
      </rPr>
      <t xml:space="preserve"> • Selbstreflexion
 • Analyse 
 • Lernzuwachs
 • Verknüpfung von Theorie und Praxis</t>
    </r>
  </si>
  <si>
    <t>Die Reflexion zeigt ein gutes Verständnis der eigenen Lernprozesse, Stärken und Schwächen während der Arbeit.
Es wird eine gründliche Analyse des eigenen Vorgehens und der getroffenen Entscheidungen vorgenommen, wobei auch Alternativen betrachtet werden.
Die Reflexion zeigt einen deutlichen Lernzuwachs und bietet Ansätze, wie diese Erkenntnisse in zukünftigen Kontexten genutzt werden können.
Es wird eine gute Verknüpfung zwischen theoretischen Konzepten und praktischen Erfahrungen hergestellt.</t>
  </si>
  <si>
    <t>Die Reflexion zeigt ein angemessenes Verständnis der eigenen Lernprozesse und identifiziert wichtige Stärken und Schwächen.
Es wird eine solide Analyse des eigenen Vorgehens vorgenommen, auch wenn die Betrachtung von Alternativen oder tiefere Überlegungen fehlen.
Die Reflexion zeigt einen erkennbaren Lernzuwachs, jedoch ohne konkrete Anwendungsmöglichkeiten für die Zukunft.
Es wird eine grundlegende Verknüpfung zwischen theoretischen Konzepten und praktischen Erfahrungen hergestellt.</t>
  </si>
  <si>
    <t>Die Reflexion zeigt ein grundlegendes Verständnis der eigenen Lernprozesse, ist jedoch oberflächlich und identifiziert nur wenige Stärken und Schwächen.
Die Analyse des eigenen Vorgehens ist einfach und wenig tiefgehend, ohne kritische Betrachtung oder Alternativen.
Die Reflexion zeigt einen begrenzten Lernzuwachs und bietet kaum Ansätze für die zukünftige Anwendung der gewonnenen Erkenntnisse.
Die Verknüpfung zwischen theoretischen Konzepten und praktischen Erfahrungen ist schwach oder unklar.</t>
  </si>
  <si>
    <t>Die Reflexion zeigt kaum ein Verständnis der eigenen Lernprozesse und identifiziert weder Stärken noch Schwächen.
Die Analyse des eigenen Vorgehens ist oberflächlich oder fehlt nahezu vollständig, ohne kritische Auseinandersetzung.
Die Reflexion zeigt keinen erkennbaren Lernzuwachs und bietet keinerlei Ansätze für die zukünftige Anwendung.
Es fehlt eine Verknüpfung zwischen theoretischen Konzepten und praktischen Erfahrungen, oder diese ist nicht nachvollziehbar.</t>
  </si>
  <si>
    <r>
      <t xml:space="preserve">Präsentation - Fachliche Korrektheit
</t>
    </r>
    <r>
      <rPr>
        <sz val="10"/>
        <color theme="1"/>
        <rFont val="Arial Narrow"/>
        <family val="2"/>
      </rPr>
      <t>Sind die Aussagen sachlich korrekt und der Inhalt sachlogisch verknüpft?</t>
    </r>
  </si>
  <si>
    <t>Die Ausführungen sind korrekt und überzeugend präsentiert.
Keine Fehler</t>
  </si>
  <si>
    <t>Die Ausführungen sind meistens fachlich korrekt und überzeugend präsentiert.
Einzelne Fehler</t>
  </si>
  <si>
    <t>Die Ausführungen sind zum Teil nicht korrekt.
Einige Fehler</t>
  </si>
  <si>
    <t xml:space="preserve">Die Ausführungen sind fachlich nicht korrekt präsentiert und haben Mängel, die den Gesamtkontext nicht mehr als sinnvoll erscheinen lassen. </t>
  </si>
  <si>
    <t>Die Ausführungen sind fachlich nicht korrekt und weisen grosse Mängel auf.</t>
  </si>
  <si>
    <r>
      <t xml:space="preserve">Präsentation - Aufbau, roter Faden
</t>
    </r>
    <r>
      <rPr>
        <sz val="10"/>
        <color theme="1"/>
        <rFont val="Arial Narrow"/>
        <family val="2"/>
      </rPr>
      <t>Einstieg überzeugend, Argumentation schlüssig und richtig, Schluss rundet ab</t>
    </r>
  </si>
  <si>
    <t>Der Start der Präsentation ist sehr packend und überzeugend.
Die Argumentation erfolgt differenziert, die Fakten sind korrekt.
Der Schluss rundet ab und ist originell gestaltet.</t>
  </si>
  <si>
    <t>Der Start der Präsentation ist gut.
Die Argumentation ist gut aufgebaut, die Fakten sind korrekt.
Der Schluss rundet die Präsentation ab.</t>
  </si>
  <si>
    <t>Der Start der Präsentation ist nur wenig überzeugend.
Die Argumentation ist meist klar, die Fakten sind korrekt.
Der Schluss ist gewöhnlich, aber knapp in Ordnung</t>
  </si>
  <si>
    <t>Der Start der Präsentation überzeugt nicht.
Die Argumentation ist nicht immer nachvollziehbar, die Fakten sind teilweise falsch.
Der Schluss kommt zu plötzlich oder ist nicht abrundend.</t>
  </si>
  <si>
    <t>Dem Start wird keine besondere Beachtung geschenkt.
Es wird nicht argumentiert, die Fakten sind oft falsch.
Es ist ein Verlegenheitsschluss der nicht abrundet.</t>
  </si>
  <si>
    <t>Präsentation - Fazit und Reflexion der Arbeit</t>
  </si>
  <si>
    <t>Das Fazit ist perfekt und rundet die Arbeit sehr gut ab.
Die Reflexion der Arbeit ist kritisch und umfasst im Detail die Schwierigkeiten während der Arbeit sowie die entsprechenden Lösungen.</t>
  </si>
  <si>
    <t>Das Fazit ist gut und rundet die Arbeit sehr gut ab.
Die Reflexion der Arbeit ist kritisch und umfasst  grob die Schwierigkeiten während der Arbeit sowie das entsprechende Learning.</t>
  </si>
  <si>
    <t>Das Fazit ist nur zum Teil gut und rundet die Arbeit nicht überzeugend ab.
Die Reflexion der Arbeit umfasst die Schwierigkeiten während der Arbeit ohne Learing.</t>
  </si>
  <si>
    <t>Das Fazit ist nicht gut und rundet die Arbeit ungenügend ab.
Die Reflexion der Arbeit beschreibt im Ansatz die Schwierigkeiten während der Arbeit.</t>
  </si>
  <si>
    <t>Das Fazit ist schwach.
Die Reflexion der Arbeit wir nur erwähnt und hat keine Substanz.</t>
  </si>
  <si>
    <t xml:space="preserve">Das Tempo, die Lautstärke und die Stimmlage sind angemessen und variieren je nachdem was gesagt wird.
Artikulation und Betonung sind sehr klar.
Die Sprache ist makellos, frei von Füllwörtern und Weichmachern.
Rhetorische Elemente werden gezielt eingesetzt, der Wortschatz entspricht dem Publikum
</t>
  </si>
  <si>
    <t xml:space="preserve">Das Tempo, die Lautstärke und die Stimmlage sind grösstenteils angemessen und variieren je nachdem was gesagt wird.
Artikulation und Betonung sind klar.
Die Sprache ist makellos, enthält kaum Füllwörtern und Weichmacher.
Rhetorische Elemente werden eingesetzt, der Wortschatz entspricht dem Publikum
</t>
  </si>
  <si>
    <t xml:space="preserve">Das Tempo, die Lautstärke und die Stimmlage sind meist angemessen und variieren je nachdem was gesagt wird.
Artikulation und Betonung sind meist klar.
Sprachlich gibt es nur wenige Fehler, ab und zu werden Weichmacher und Füllwörter verwendet.
Rhetorische Elemente werden vereinzelt eingesetzt, der Wortschatz entspricht meist dem Publikum
</t>
  </si>
  <si>
    <t xml:space="preserve">Das Sprechtempo ist zu schnell/langsam, Stimmlage und Lautstärke sind nicht immer angemessen.
Artikulation und Betonung sind nicht immer klar.
Sprachlich gibt es einige Fehler, Weichmacher und Füllwörter werden verwendet.
Rhetorische Elemente werden kaum eingesetzt, der Wortschatz entspricht nicht immer dem Publikum.
</t>
  </si>
  <si>
    <t xml:space="preserve">Die präsentierende Person ist kaum verständlich, weil Tempo, Stimmlage und Lautstärke überhaupt nicht angemessen sind.
Die Aussprache ist nuschelnd, die Betonung unpassend.
Die Sprache ist fehlerhaft, Weichmacher und Füllwörter werden oft verwendet.
Rhetorische Elemente kommen keine vor, der Wortschatz ist nicht dem Zielpublikum angepasst.
</t>
  </si>
  <si>
    <r>
      <t xml:space="preserve">Präsentation
Auftreten
</t>
    </r>
    <r>
      <rPr>
        <sz val="10"/>
        <color theme="1"/>
        <rFont val="Arial Narrow"/>
        <family val="2"/>
      </rPr>
      <t xml:space="preserve"> • Gewinnender Auftritt
 • Körperhaltung
 • Mimik
 • Gestik
 • Blickkontakt</t>
    </r>
  </si>
  <si>
    <t>Die Haltung ist gerade, der Stand geerdet.
Mimik und Gestik sind authentisch und natürlich, sie unterstreichen das Gesagte.
Der Blickkontakt wird mit allen Publikumsteilnehmern gehalten</t>
  </si>
  <si>
    <t>Die Haltung ist meist gerade, der Stand meist geerdet.
Mimik und Gestik sind authentisch und natürlich, sie unterstreichen das Gesagte meistens.
Der Blickkontakt wird mit den meisten Publikumsteilnehmern gehalten</t>
  </si>
  <si>
    <t>Die Haltung ist nur leicht verkrampft, der Stand etwas starr/wackelig.
Mimik und Gestik sind etwas verkrampft/zu stark/zu schwach. Sie unterstreichen das Gesagte nicht immer.
Der Blickkontakt wird nicht immer gehalten.</t>
  </si>
  <si>
    <t>Haltung und Stand sind verkrampft und wirken nicht überzeugend.
Mimik und Gestik sind verkrampft/zu stark/zu schwach. Das Gesagte wird dadurch nicht unterstrichen.
Blickkontakt wird nur wenig hergestellt.</t>
  </si>
  <si>
    <t>Haltung und Stand, Mimik und Gestik sind so starr/zappelig, dass sie vom Gesagten ablenken.
Blickkontakt wird keiner hergestellt.</t>
  </si>
  <si>
    <r>
      <t xml:space="preserve">Präsentation
Medienunterstützung / Medienvielfalt 
</t>
    </r>
    <r>
      <rPr>
        <sz val="10"/>
        <color theme="1"/>
        <rFont val="Arial Narrow"/>
        <family val="2"/>
      </rPr>
      <t xml:space="preserve"> • Sprache</t>
    </r>
    <r>
      <rPr>
        <b/>
        <sz val="10"/>
        <color theme="1"/>
        <rFont val="Arial Narrow"/>
        <family val="2"/>
      </rPr>
      <t xml:space="preserve">
</t>
    </r>
    <r>
      <rPr>
        <sz val="10"/>
        <color theme="1"/>
        <rFont val="Arial Narrow"/>
        <family val="2"/>
      </rPr>
      <t xml:space="preserve"> • Unterstützung / Dynamik
 • informativ, aussagekräftig, selbsterklärend
 • Mehrwert
 • Lesbarkeit, Übersichtlichkeit, Struktur
 • Originalität</t>
    </r>
  </si>
  <si>
    <t>Die Sprache ist fehlerfrei
Das Medium wird unterstützend zur Präsentation eingesetzt, wird sinnvoll dynamisch ergänzt
Im fertigen Zustand ist das Medium informativ und selbsterklärend, es bietet eine klaren Mehrwert.
Die Schrift ist gut leserlich, das Medium ist übersichtlich und hat eine klare Struktur.
Die Gestaltung ist ansprechend und originell.</t>
  </si>
  <si>
    <t>Die Sprache ist fehlerfrei.
Das Medium wird meist unterstützend zur Präsentation eingesetzt, wird sinnvoll ergänzt.
Im fertigen Zustand ist das Medium informativ und selbsterklärend, es bietet einen Mehrwert.
Die Schrift ist gut leserlich, das Medium ist übersichtlich und hat eine klare Struktur.
Die Gestaltung ist ansprechend.</t>
  </si>
  <si>
    <t>Die Sprache ist meist fehlerfrei.
Das Medium wird meist unterstützend eingesetzt. 
Im fertigen Zustand ist das Medium informativ und zum Teil selbsterklärend.
Die Schrift ist meist gut leserlich, das Medium hat eine Struktur.
Die Gestaltung ist ansprechend.</t>
  </si>
  <si>
    <t>Es hat einige Fehler.
Das Medium unterstütz die Präsentation zum Teil.
Im fertigen Zustand ist das Medium informativ.
Die Schrift ist meist leserlich, das Medium hat eine Struktur. Die Gestaltung ist wenig ansprechend.</t>
  </si>
  <si>
    <t>Es hat viele Fehler.
Das Medium unterstützt die Präsentation kaum.
Das Medium ist weder informativ noch selbsterklärend im fertigen Zustand.
Die Schrift ist kaum leserlich, eine Struktur ist nur schwer erkennbar.
Die Gestaltung ist nicht ansprechend.</t>
  </si>
  <si>
    <r>
      <t xml:space="preserve">Fachgespräch 
</t>
    </r>
    <r>
      <rPr>
        <sz val="10"/>
        <color theme="1"/>
        <rFont val="Arial Narrow"/>
        <family val="2"/>
      </rPr>
      <t xml:space="preserve"> • Argumentation</t>
    </r>
    <r>
      <rPr>
        <b/>
        <sz val="10"/>
        <color theme="1"/>
        <rFont val="Arial Narrow"/>
        <family val="2"/>
      </rPr>
      <t xml:space="preserve">
</t>
    </r>
    <r>
      <rPr>
        <sz val="10"/>
        <color theme="1"/>
        <rFont val="Arial Narrow"/>
        <family val="2"/>
      </rPr>
      <t xml:space="preserve"> • Anwendung von Fachbegriffen</t>
    </r>
    <r>
      <rPr>
        <b/>
        <sz val="10"/>
        <color theme="1"/>
        <rFont val="Arial Narrow"/>
        <family val="2"/>
      </rPr>
      <t xml:space="preserve">
</t>
    </r>
    <r>
      <rPr>
        <sz val="10"/>
        <color theme="1"/>
        <rFont val="Arial Narrow"/>
        <family val="2"/>
      </rPr>
      <t xml:space="preserve"> • Fachkompetenz</t>
    </r>
  </si>
  <si>
    <r>
      <t xml:space="preserve">Präsentation
Rhetorik / Ausdruck
</t>
    </r>
    <r>
      <rPr>
        <sz val="10"/>
        <color theme="1"/>
        <rFont val="Arial Narrow"/>
        <family val="2"/>
      </rPr>
      <t xml:space="preserve"> • Sprechtempo
 • Lautstärke / Stimmlage
 • Artikulation / Betonung
 • Satzbau / Wortschatz
 • Rhetorische Elemente
 • Frei sprechen
 • Füllwörter / Weichmacher
</t>
    </r>
  </si>
  <si>
    <t>Gewicht</t>
  </si>
  <si>
    <r>
      <t xml:space="preserve">Betriebswirtschaft
 • </t>
    </r>
    <r>
      <rPr>
        <sz val="10"/>
        <color theme="1"/>
        <rFont val="Arial Narrow"/>
        <family val="2"/>
      </rPr>
      <t>Betriebswirtschaftlicher Kontext</t>
    </r>
    <r>
      <rPr>
        <b/>
        <sz val="10"/>
        <color theme="1"/>
        <rFont val="Arial Narrow"/>
        <family val="2"/>
      </rPr>
      <t xml:space="preserve">
</t>
    </r>
    <r>
      <rPr>
        <sz val="10"/>
        <color theme="1"/>
        <rFont val="Arial Narrow"/>
        <family val="2"/>
      </rPr>
      <t xml:space="preserve"> • Einbezug strategischer Ziele</t>
    </r>
    <r>
      <rPr>
        <b/>
        <sz val="10"/>
        <color theme="1"/>
        <rFont val="Arial Narrow"/>
        <family val="2"/>
      </rPr>
      <t xml:space="preserve">
</t>
    </r>
    <r>
      <rPr>
        <sz val="10"/>
        <color theme="1"/>
        <rFont val="Arial Narrow"/>
        <family val="2"/>
      </rPr>
      <t xml:space="preserve"> • Betroffene Prozesse
 • Betroffene Organisationseinheiten
 • Betriebliches Change Management</t>
    </r>
  </si>
  <si>
    <t>Die Einbettung der Arbeit im betrieblichen Umfeld ist ausgezeichnet beschrieben.
Alle betroffenen Prozesse und Organisationseinheiten sind erklärt und die Auswirkungen ausgezeichnet beschrieben.</t>
  </si>
  <si>
    <t xml:space="preserve">Die Einbettung der Arbeit im betrieblichen Umfeld ist gut beschrieben.
Alle betroffenen Prozesse und Organisationseinheiten sind erklärt und die Auswirkungen gut beschrieben. </t>
  </si>
  <si>
    <t xml:space="preserve">Die Einbettung der Arbeit im betrieblichen Umfeld ist gerade noch verständlich und damit genügend beschrieben.
Alle betroffenen Prozesse und Organisationseinheiten sind erklärt und die Auswirkungen genügend beschrieben. </t>
  </si>
  <si>
    <t>Die Einbettung der Arbeit im betrieblichen Umfeld ist lückenhaft und damit ungenügend beschrieben.
Alle betroffenen Prozesse und Organisationseinheiten sind erklärt und die Auswirkungen ungenügend beschrieben.</t>
  </si>
  <si>
    <t xml:space="preserve">Die Einbettung der Arbeit im betrieblichen Umfeld ist deutlich ungenügend.
Alle betroffenen Prozesse und Organisationseinheiten sind erklärt und die Auswirkungen deutlich ungenügend beschrieben. </t>
  </si>
  <si>
    <t>Erreichte
Punkte</t>
  </si>
  <si>
    <t>Ergebnis Vorgehen</t>
  </si>
  <si>
    <t>Note:</t>
  </si>
  <si>
    <t>Ergebnis Lösung/Lieferobjekt/Produkt</t>
  </si>
  <si>
    <t>Das Lieferobjekt demonstriert höchste technische Präzision und ein tiefes Verständnis der Materie. Das Lieferobjekt hat Produktionsreife und leistet dem Auftraggeber ausserordentlich gute Dienste.</t>
  </si>
  <si>
    <t>Ergebnis Dokumentation und Präsentation</t>
  </si>
  <si>
    <t>Student/in</t>
  </si>
  <si>
    <t>Titel der Arbeit</t>
  </si>
  <si>
    <t>Diplomjahr</t>
  </si>
  <si>
    <t>Bemerkung (zwingend bei Bewertung unter 3)</t>
  </si>
  <si>
    <t>&lt;Vorname Name&gt;</t>
  </si>
  <si>
    <t>Fachbereich</t>
  </si>
  <si>
    <t>Bewertung Diplomarbeit</t>
  </si>
  <si>
    <t>&lt;Gemäss Liste eingeben&gt;</t>
  </si>
  <si>
    <t>Es ist ein tiefes und umfassendes Verständnis aller relevanten technischen Konzepte, Methoden und Werkzeuge erkennbar, die in der Arbeit angewendet wurden.</t>
  </si>
  <si>
    <t>Es ist ein fundiertes Verständnis der wichtigsten technischen Konzepte, Methoden und Werkzeuge erkennbar, die in der Arbeit angewendet wurden.</t>
  </si>
  <si>
    <t>Es ist ein gutes Verständnis der grundlegenden technischen Konzepte, Methoden und Werkzeuge erkennbar, die in der Arbeit angewendet wurden.</t>
  </si>
  <si>
    <t>Es ist ein grundlegendes, aber lückenhaftes Verständnis der relevanten technischen Konzepte, Methoden und Werkzeuge erkennbar.</t>
  </si>
  <si>
    <t>Es ist ein unzureichendes Verständnis der relevanten technischen Konzepte, Methoden und Werkzeuge erkennbar.</t>
  </si>
  <si>
    <t>Die Arbeit wird mit höchster Präzision und schlüssigen Argumenten, die tiefes Fachwissen und ein umfassendes Verständnis des Themas zeigen, verfochten.
Im Fachgespräch ist eine umfassende und tiefgehende Kenntnis des Themas erkennbar, sowie die Fähigkeit, komplexe Fragen und Kritikpunkte souverän zu beantworten.</t>
  </si>
  <si>
    <t>Die Arbeit wird mit schlüssigen und gut durchdachten Argumenten, die ein solides Fachwissen und gutes Verständnis des Themas demonstrieren, verfochten.
Im Fachgespräch ist eine hohe Fachkompetenz erkennbar und die meisten Fragen und Kritikpunkte werden gut beantwortet.</t>
  </si>
  <si>
    <t>Die Arbeit wird mit angemessenen Argumenten, die ein gutes Fachwissen und ein grundlegendes Verständnis des Themas zeigen, verfochten.
Im Fachgespräch ist eine solide Kenntnis des Themas erkennbar, aber  komplexe Fragen oder Kritikpunkte können nur schwer beantwortet bzw. diskutiert werden.</t>
  </si>
  <si>
    <t>Die Arbeit wird  mit grundlegenden Argumenten verfochten, die ein oberflächliches Fachwissen und ein begrenztes Verständnis des Themas zeigen.
Im Fachgespräch ist nur ein grundlegendes Wissen erkennbar und Fragen und Kritikpunkte können höchstens zufriedenstellend beantwortet werden.</t>
  </si>
  <si>
    <t>Die Arbeit kann kaum verteidigt werden, die Argumentation ist unschlüssig und zeigt ein mangelndes Verständnis des Themas.
Im Fachgespräch ist nur rudimentäres Wissen erkennbar und Fragen und Kritikpunkte können kaum angemessen zu beantwortet werden.</t>
  </si>
  <si>
    <t>Name</t>
  </si>
  <si>
    <t>Thema</t>
  </si>
  <si>
    <t>Rückmeldung</t>
  </si>
  <si>
    <t>Fachbereichsleiter/in</t>
  </si>
  <si>
    <t>Unterschrift</t>
  </si>
  <si>
    <t>Dokumentation/Präsentation</t>
  </si>
  <si>
    <t>Modulnote Diplomarbeit</t>
  </si>
  <si>
    <t>Dozent/in</t>
  </si>
  <si>
    <t>Experte/Expertin</t>
  </si>
  <si>
    <t>Diplomarbeit: Feedback für Studierende</t>
  </si>
  <si>
    <t>Die Reflexion zeigt ein tiefes Verständnis der eigenen Lernprozesse, Stärken und Schwächen während der Arbeit.
Es wird eine fundierte und kritische Analyse des eigenen Vorgehens und der getroffenen Entscheidungen vorgenommen, inklusive der Überlegungen zu Alternativen und deren möglichen Auswirkungen.
Die Reflexion dokumentiert einen klaren Lernzuwachs und zeigt, wie diese Erkenntnisse auf zukünftige berufliche  Herausforderungen angewendet werden können.
Es wird eine hervorragende Verknüpfung zwischen theoretischen Konzepten und praktischen Erfahrungen hergestellt.</t>
  </si>
  <si>
    <r>
      <rPr>
        <b/>
        <sz val="10"/>
        <color theme="1"/>
        <rFont val="Arial Narrow"/>
        <family val="2"/>
      </rPr>
      <t>Einhaltung der Termine</t>
    </r>
    <r>
      <rPr>
        <sz val="10"/>
        <color theme="1"/>
        <rFont val="Arial Narrow"/>
        <family val="2"/>
      </rPr>
      <t xml:space="preserve">
 • Geheimhaltungsvereinbarung (1) Zeitpunkt Projektskizze
 • Projektauftrag (1)
 • Pflichtenheft (1)
 • Wochenjournale (7)
 • Gesprächsprotokolle DozentIn/ExpertIn (2-4)
 • Abgabe der DA-Dokumentation und des Produkts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</si>
</sst>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theme="1"/>
      <name val="Arial Narrow"/>
      <family val="2"/>
    </font>
    <font>
      <b/>
      <sz val="10"/>
      <color theme="1"/>
      <name val="Arial Narrow"/>
      <family val="2"/>
    </font>
    <font>
      <b/>
      <sz val="18"/>
      <color theme="1"/>
      <name val="Arial Narrow"/>
      <family val="2"/>
    </font>
    <font>
      <b/>
      <sz val="12"/>
      <color theme="1"/>
      <name val="Arial Narrow"/>
      <family val="2"/>
    </font>
    <font>
      <b/>
      <sz val="14"/>
      <color theme="1"/>
      <name val="Arial Narrow"/>
      <family val="2"/>
    </font>
    <font>
      <sz val="12"/>
      <color theme="1"/>
      <name val="Arial Narrow"/>
      <family val="2"/>
    </font>
    <font>
      <sz val="11"/>
      <color theme="1"/>
      <name val="Arial"/>
      <family val="2"/>
    </font>
    <font>
      <b/>
      <sz val="14"/>
      <color theme="1"/>
      <name val="Arial"/>
      <family val="2"/>
    </font>
    <font>
      <sz val="12"/>
      <color theme="1"/>
      <name val="Arial"/>
      <family val="2"/>
    </font>
    <font>
      <b/>
      <sz val="12"/>
      <color theme="1"/>
      <name val="Arial"/>
      <family val="2"/>
    </font>
  </fonts>
  <fills count="4">
    <fill>
      <patternFill patternType="none"/>
    </fill>
    <fill>
      <patternFill patternType="gray125"/>
    </fill>
    <fill>
      <patternFill patternType="solid">
        <fgColor theme="0" tint="-0.14996795556505021"/>
        <bgColor indexed="64"/>
      </patternFill>
    </fill>
    <fill>
      <patternFill patternType="solid">
        <fgColor theme="8"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s>
  <cellStyleXfs count="1">
    <xf numFmtId="0" fontId="0" fillId="0" borderId="0"/>
  </cellStyleXfs>
  <cellXfs count="43">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horizontal="left" vertical="top" wrapText="1"/>
    </xf>
    <xf numFmtId="0" fontId="3" fillId="0" borderId="0" xfId="0" applyFont="1" applyAlignment="1">
      <alignment vertical="top" wrapText="1"/>
    </xf>
    <xf numFmtId="0" fontId="1" fillId="0" borderId="0" xfId="0" applyFont="1" applyAlignment="1">
      <alignment vertical="center" wrapText="1"/>
    </xf>
    <xf numFmtId="0" fontId="1" fillId="3" borderId="1" xfId="0" applyFont="1" applyFill="1" applyBorder="1" applyAlignment="1" applyProtection="1">
      <alignment horizontal="center" vertical="top" wrapText="1"/>
      <protection locked="0"/>
    </xf>
    <xf numFmtId="0" fontId="6" fillId="0" borderId="2" xfId="0" applyFont="1" applyBorder="1" applyAlignment="1">
      <alignment horizontal="left" vertical="center" wrapText="1"/>
    </xf>
    <xf numFmtId="0" fontId="6" fillId="0" borderId="5" xfId="0" applyFont="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0" borderId="1" xfId="0" applyFont="1" applyBorder="1" applyAlignment="1">
      <alignment vertical="top" wrapText="1"/>
    </xf>
    <xf numFmtId="0" fontId="4" fillId="0" borderId="1" xfId="0" applyFont="1" applyBorder="1" applyAlignment="1">
      <alignment vertical="center" wrapText="1"/>
    </xf>
    <xf numFmtId="1" fontId="6"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7" fillId="0" borderId="0" xfId="0" applyFont="1"/>
    <xf numFmtId="0" fontId="8" fillId="0" borderId="0" xfId="0" applyFont="1"/>
    <xf numFmtId="0" fontId="9" fillId="0" borderId="0" xfId="0" applyFont="1"/>
    <xf numFmtId="0" fontId="7" fillId="0" borderId="0" xfId="0" applyFont="1" applyAlignment="1">
      <alignment vertical="center"/>
    </xf>
    <xf numFmtId="0" fontId="9" fillId="0" borderId="0" xfId="0" applyFont="1" applyAlignment="1">
      <alignment horizontal="left" vertical="center"/>
    </xf>
    <xf numFmtId="0" fontId="9" fillId="0" borderId="0" xfId="0" applyFont="1" applyAlignment="1">
      <alignment horizontal="left" vertical="top"/>
    </xf>
    <xf numFmtId="0" fontId="7" fillId="0" borderId="0" xfId="0" applyFont="1" applyAlignment="1">
      <alignment horizontal="left" vertical="center"/>
    </xf>
    <xf numFmtId="49" fontId="1" fillId="0" borderId="1" xfId="0" applyNumberFormat="1" applyFont="1" applyBorder="1" applyAlignment="1" applyProtection="1">
      <alignment horizontal="left" vertical="top" wrapText="1"/>
      <protection locked="0"/>
    </xf>
    <xf numFmtId="0" fontId="3"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wrapText="1"/>
    </xf>
    <xf numFmtId="0" fontId="4" fillId="0" borderId="0" xfId="0" applyFont="1" applyAlignment="1">
      <alignment wrapText="1"/>
    </xf>
    <xf numFmtId="0" fontId="6" fillId="0" borderId="2" xfId="0" applyFont="1" applyBorder="1" applyAlignment="1" applyProtection="1">
      <alignment horizontal="left" vertical="center" wrapText="1"/>
      <protection locked="0"/>
    </xf>
    <xf numFmtId="0" fontId="7" fillId="0" borderId="2" xfId="0" applyFont="1" applyBorder="1" applyAlignment="1">
      <alignment horizontal="left"/>
    </xf>
    <xf numFmtId="0" fontId="9" fillId="0" borderId="0" xfId="0" applyFont="1" applyAlignment="1">
      <alignment horizontal="left"/>
    </xf>
    <xf numFmtId="0" fontId="9" fillId="0" borderId="0" xfId="0" applyFont="1" applyAlignment="1">
      <alignment horizontal="left" vertical="center"/>
    </xf>
    <xf numFmtId="49" fontId="9" fillId="0" borderId="0" xfId="0" applyNumberFormat="1" applyFont="1" applyAlignment="1" applyProtection="1">
      <alignment horizontal="left" vertical="top" wrapText="1"/>
      <protection locked="0"/>
    </xf>
    <xf numFmtId="0" fontId="10" fillId="0" borderId="0" xfId="0" applyFont="1" applyAlignment="1">
      <alignment horizontal="left" vertical="center"/>
    </xf>
    <xf numFmtId="164" fontId="9" fillId="0" borderId="0" xfId="0" applyNumberFormat="1" applyFont="1" applyAlignment="1">
      <alignment horizontal="right" vertical="center"/>
    </xf>
    <xf numFmtId="164" fontId="10" fillId="0" borderId="0" xfId="0" applyNumberFormat="1" applyFont="1" applyAlignment="1">
      <alignment horizontal="right" vertical="center"/>
    </xf>
    <xf numFmtId="0" fontId="9" fillId="0" borderId="0" xfId="0" applyFont="1" applyAlignment="1" applyProtection="1">
      <alignment horizontal="left" vertical="center"/>
      <protection locked="0"/>
    </xf>
    <xf numFmtId="0" fontId="9" fillId="0" borderId="0" xfId="0" applyFont="1" applyAlignment="1">
      <alignment horizontal="righ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4AB5-3718-4CC8-B5B2-9191F188395F}">
  <sheetPr>
    <pageSetUpPr fitToPage="1"/>
  </sheetPr>
  <dimension ref="A1:R46"/>
  <sheetViews>
    <sheetView tabSelected="1" zoomScale="138" zoomScaleNormal="138" zoomScalePageLayoutView="125" workbookViewId="0">
      <selection activeCell="D10" sqref="D10"/>
    </sheetView>
  </sheetViews>
  <sheetFormatPr baseColWidth="10" defaultColWidth="11.33203125" defaultRowHeight="13" x14ac:dyDescent="0.2"/>
  <cols>
    <col min="1" max="1" width="36.83203125" style="1" customWidth="1"/>
    <col min="2" max="4" width="7.33203125" style="2" customWidth="1"/>
    <col min="5" max="5" width="17.5" style="3" customWidth="1"/>
    <col min="6" max="7" width="16.6640625" style="3" customWidth="1"/>
    <col min="8" max="8" width="17.33203125" style="3" customWidth="1"/>
    <col min="9" max="9" width="17.1640625" style="3" customWidth="1"/>
    <col min="10" max="10" width="9.6640625" style="3" customWidth="1"/>
    <col min="11" max="11" width="51.1640625" style="1" customWidth="1"/>
    <col min="12" max="16384" width="11.33203125" style="1"/>
  </cols>
  <sheetData>
    <row r="1" spans="1:18" ht="24" customHeight="1" x14ac:dyDescent="0.2">
      <c r="A1" s="29" t="s">
        <v>209</v>
      </c>
      <c r="B1" s="29"/>
      <c r="C1" s="29"/>
      <c r="D1" s="29"/>
      <c r="E1" s="29"/>
      <c r="F1" s="29"/>
      <c r="G1" s="29"/>
      <c r="H1" s="4"/>
      <c r="I1" s="4"/>
      <c r="J1" s="4"/>
      <c r="K1" s="4"/>
      <c r="L1" s="4"/>
      <c r="M1" s="4"/>
      <c r="N1" s="4"/>
      <c r="O1" s="4"/>
      <c r="P1" s="4"/>
      <c r="Q1" s="4"/>
      <c r="R1" s="4"/>
    </row>
    <row r="2" spans="1:18" ht="17" customHeight="1" x14ac:dyDescent="0.2">
      <c r="A2" s="7" t="s">
        <v>205</v>
      </c>
      <c r="B2" s="33">
        <v>2026</v>
      </c>
      <c r="C2" s="33"/>
      <c r="D2" s="33"/>
      <c r="E2" s="33"/>
      <c r="F2" s="33"/>
      <c r="G2" s="33"/>
      <c r="H2" s="33"/>
      <c r="I2" s="33"/>
      <c r="J2" s="33"/>
      <c r="K2" s="4"/>
      <c r="L2" s="4"/>
      <c r="M2" s="4"/>
      <c r="N2" s="4"/>
      <c r="O2" s="4"/>
      <c r="P2" s="4"/>
      <c r="Q2" s="4"/>
      <c r="R2" s="4"/>
    </row>
    <row r="3" spans="1:18" ht="17" customHeight="1" x14ac:dyDescent="0.2">
      <c r="A3" s="8" t="s">
        <v>203</v>
      </c>
      <c r="B3" s="33" t="s">
        <v>207</v>
      </c>
      <c r="C3" s="33"/>
      <c r="D3" s="33"/>
      <c r="E3" s="33"/>
      <c r="F3" s="33"/>
      <c r="G3" s="33"/>
      <c r="H3" s="33"/>
      <c r="I3" s="33"/>
      <c r="J3" s="33"/>
      <c r="K3" s="4"/>
      <c r="L3" s="4"/>
      <c r="M3" s="4"/>
      <c r="N3" s="4"/>
      <c r="O3" s="4"/>
      <c r="P3" s="4"/>
      <c r="Q3" s="4"/>
      <c r="R3" s="4"/>
    </row>
    <row r="4" spans="1:18" ht="17" customHeight="1" x14ac:dyDescent="0.2">
      <c r="A4" s="8" t="s">
        <v>208</v>
      </c>
      <c r="B4" s="33"/>
      <c r="C4" s="33"/>
      <c r="D4" s="33"/>
      <c r="E4" s="33"/>
      <c r="F4" s="33"/>
      <c r="G4" s="33"/>
      <c r="H4" s="33"/>
      <c r="I4" s="33"/>
      <c r="J4" s="33"/>
      <c r="K4" s="4"/>
      <c r="L4" s="4"/>
      <c r="M4" s="4"/>
      <c r="N4" s="4"/>
      <c r="O4" s="4"/>
      <c r="P4" s="4"/>
      <c r="Q4" s="4"/>
      <c r="R4" s="4"/>
    </row>
    <row r="5" spans="1:18" ht="17" customHeight="1" x14ac:dyDescent="0.2">
      <c r="A5" s="8" t="s">
        <v>204</v>
      </c>
      <c r="B5" s="33" t="s">
        <v>210</v>
      </c>
      <c r="C5" s="33"/>
      <c r="D5" s="33"/>
      <c r="E5" s="33"/>
      <c r="F5" s="33"/>
      <c r="G5" s="33"/>
      <c r="H5" s="33"/>
      <c r="I5" s="33"/>
      <c r="J5" s="33"/>
      <c r="K5" s="4"/>
      <c r="L5" s="4"/>
      <c r="M5" s="4"/>
      <c r="N5" s="4"/>
      <c r="O5" s="4"/>
      <c r="P5" s="4"/>
      <c r="Q5" s="4"/>
      <c r="R5" s="4"/>
    </row>
    <row r="6" spans="1:18" x14ac:dyDescent="0.2">
      <c r="K6" s="3"/>
    </row>
    <row r="7" spans="1:18" ht="35.25" customHeight="1" x14ac:dyDescent="0.2">
      <c r="A7" s="9" t="s">
        <v>0</v>
      </c>
      <c r="B7" s="9" t="s">
        <v>1</v>
      </c>
      <c r="C7" s="9" t="s">
        <v>190</v>
      </c>
      <c r="D7" s="9" t="s">
        <v>197</v>
      </c>
      <c r="E7" s="10">
        <v>5</v>
      </c>
      <c r="F7" s="10">
        <v>4</v>
      </c>
      <c r="G7" s="10">
        <v>3</v>
      </c>
      <c r="H7" s="10">
        <v>2</v>
      </c>
      <c r="I7" s="10">
        <v>1</v>
      </c>
      <c r="J7" s="10">
        <v>0</v>
      </c>
      <c r="K7" s="10" t="s">
        <v>206</v>
      </c>
    </row>
    <row r="9" spans="1:18" ht="22" customHeight="1" x14ac:dyDescent="0.2">
      <c r="A9" s="30" t="s">
        <v>2</v>
      </c>
      <c r="B9" s="30"/>
      <c r="C9" s="30"/>
      <c r="D9" s="30"/>
      <c r="E9" s="30"/>
      <c r="F9" s="30"/>
      <c r="G9" s="30"/>
      <c r="H9" s="30"/>
      <c r="I9" s="30"/>
      <c r="J9" s="30"/>
    </row>
    <row r="10" spans="1:18" ht="109" customHeight="1" x14ac:dyDescent="0.2">
      <c r="A10" s="11" t="s">
        <v>232</v>
      </c>
      <c r="B10" s="12">
        <v>5</v>
      </c>
      <c r="C10" s="12">
        <v>1</v>
      </c>
      <c r="D10" s="6">
        <v>0</v>
      </c>
      <c r="E10" s="13" t="s">
        <v>3</v>
      </c>
      <c r="F10" s="13" t="s">
        <v>4</v>
      </c>
      <c r="G10" s="13" t="s">
        <v>5</v>
      </c>
      <c r="H10" s="13" t="s">
        <v>6</v>
      </c>
      <c r="I10" s="13" t="s">
        <v>7</v>
      </c>
      <c r="J10" s="13" t="s">
        <v>8</v>
      </c>
      <c r="K10" s="28"/>
    </row>
    <row r="11" spans="1:18" ht="92.25" customHeight="1" x14ac:dyDescent="0.2">
      <c r="A11" s="11" t="s">
        <v>9</v>
      </c>
      <c r="B11" s="12">
        <v>5</v>
      </c>
      <c r="C11" s="12">
        <v>1</v>
      </c>
      <c r="D11" s="6">
        <v>0</v>
      </c>
      <c r="E11" s="13" t="s">
        <v>10</v>
      </c>
      <c r="F11" s="13" t="s">
        <v>11</v>
      </c>
      <c r="G11" s="13" t="s">
        <v>12</v>
      </c>
      <c r="H11" s="13" t="s">
        <v>13</v>
      </c>
      <c r="I11" s="13" t="s">
        <v>14</v>
      </c>
      <c r="J11" s="13" t="s">
        <v>15</v>
      </c>
      <c r="K11" s="28"/>
    </row>
    <row r="12" spans="1:18" ht="103" customHeight="1" x14ac:dyDescent="0.2">
      <c r="A12" s="11" t="s">
        <v>16</v>
      </c>
      <c r="B12" s="12">
        <v>5</v>
      </c>
      <c r="C12" s="12">
        <v>1</v>
      </c>
      <c r="D12" s="6">
        <v>0</v>
      </c>
      <c r="E12" s="13" t="s">
        <v>17</v>
      </c>
      <c r="F12" s="13" t="s">
        <v>18</v>
      </c>
      <c r="G12" s="13" t="s">
        <v>19</v>
      </c>
      <c r="H12" s="13" t="s">
        <v>20</v>
      </c>
      <c r="I12" s="13" t="s">
        <v>21</v>
      </c>
      <c r="J12" s="13" t="s">
        <v>22</v>
      </c>
      <c r="K12" s="28"/>
    </row>
    <row r="13" spans="1:18" ht="120" customHeight="1" x14ac:dyDescent="0.2">
      <c r="A13" s="14" t="s">
        <v>23</v>
      </c>
      <c r="B13" s="12">
        <v>5</v>
      </c>
      <c r="C13" s="12">
        <v>1</v>
      </c>
      <c r="D13" s="6">
        <v>0</v>
      </c>
      <c r="E13" s="13" t="s">
        <v>24</v>
      </c>
      <c r="F13" s="13" t="s">
        <v>25</v>
      </c>
      <c r="G13" s="13" t="s">
        <v>26</v>
      </c>
      <c r="H13" s="13" t="s">
        <v>27</v>
      </c>
      <c r="I13" s="13" t="s">
        <v>28</v>
      </c>
      <c r="J13" s="13" t="s">
        <v>29</v>
      </c>
      <c r="K13" s="28"/>
    </row>
    <row r="14" spans="1:18" ht="160" customHeight="1" x14ac:dyDescent="0.2">
      <c r="A14" s="14" t="s">
        <v>30</v>
      </c>
      <c r="B14" s="12">
        <v>5</v>
      </c>
      <c r="C14" s="12">
        <v>1</v>
      </c>
      <c r="D14" s="6">
        <v>0</v>
      </c>
      <c r="E14" s="13" t="s">
        <v>31</v>
      </c>
      <c r="F14" s="13" t="s">
        <v>32</v>
      </c>
      <c r="G14" s="13" t="s">
        <v>33</v>
      </c>
      <c r="H14" s="13" t="s">
        <v>34</v>
      </c>
      <c r="I14" s="13" t="s">
        <v>35</v>
      </c>
      <c r="J14" s="13" t="s">
        <v>36</v>
      </c>
      <c r="K14" s="28"/>
    </row>
    <row r="15" spans="1:18" ht="147" customHeight="1" x14ac:dyDescent="0.2">
      <c r="A15" s="11" t="s">
        <v>37</v>
      </c>
      <c r="B15" s="12">
        <v>5</v>
      </c>
      <c r="C15" s="12">
        <v>1</v>
      </c>
      <c r="D15" s="6">
        <v>0</v>
      </c>
      <c r="E15" s="13" t="s">
        <v>38</v>
      </c>
      <c r="F15" s="13" t="s">
        <v>39</v>
      </c>
      <c r="G15" s="13" t="s">
        <v>40</v>
      </c>
      <c r="H15" s="13" t="s">
        <v>41</v>
      </c>
      <c r="I15" s="13" t="s">
        <v>42</v>
      </c>
      <c r="J15" s="13" t="s">
        <v>43</v>
      </c>
      <c r="K15" s="28"/>
    </row>
    <row r="16" spans="1:18" ht="147" customHeight="1" x14ac:dyDescent="0.2">
      <c r="A16" s="11" t="s">
        <v>44</v>
      </c>
      <c r="B16" s="12">
        <v>5</v>
      </c>
      <c r="C16" s="12">
        <v>2</v>
      </c>
      <c r="D16" s="6">
        <v>0</v>
      </c>
      <c r="E16" s="13" t="s">
        <v>45</v>
      </c>
      <c r="F16" s="13" t="s">
        <v>46</v>
      </c>
      <c r="G16" s="13" t="s">
        <v>47</v>
      </c>
      <c r="H16" s="13" t="s">
        <v>48</v>
      </c>
      <c r="I16" s="13" t="s">
        <v>49</v>
      </c>
      <c r="J16" s="13" t="s">
        <v>50</v>
      </c>
      <c r="K16" s="28"/>
    </row>
    <row r="17" spans="1:11" ht="211" customHeight="1" x14ac:dyDescent="0.2">
      <c r="A17" s="11" t="s">
        <v>51</v>
      </c>
      <c r="B17" s="12">
        <v>5</v>
      </c>
      <c r="C17" s="12">
        <v>2</v>
      </c>
      <c r="D17" s="6">
        <v>0</v>
      </c>
      <c r="E17" s="13" t="s">
        <v>52</v>
      </c>
      <c r="F17" s="13" t="s">
        <v>53</v>
      </c>
      <c r="G17" s="13" t="s">
        <v>54</v>
      </c>
      <c r="H17" s="13" t="s">
        <v>55</v>
      </c>
      <c r="I17" s="13" t="s">
        <v>56</v>
      </c>
      <c r="J17" s="13" t="s">
        <v>43</v>
      </c>
      <c r="K17" s="28"/>
    </row>
    <row r="18" spans="1:11" ht="169" customHeight="1" x14ac:dyDescent="0.2">
      <c r="A18" s="14" t="s">
        <v>191</v>
      </c>
      <c r="B18" s="12">
        <v>5</v>
      </c>
      <c r="C18" s="12">
        <v>1</v>
      </c>
      <c r="D18" s="6">
        <v>0</v>
      </c>
      <c r="E18" s="13" t="s">
        <v>192</v>
      </c>
      <c r="F18" s="13" t="s">
        <v>193</v>
      </c>
      <c r="G18" s="13" t="s">
        <v>194</v>
      </c>
      <c r="H18" s="13" t="s">
        <v>195</v>
      </c>
      <c r="I18" s="13" t="s">
        <v>196</v>
      </c>
      <c r="J18" s="13" t="s">
        <v>43</v>
      </c>
      <c r="K18" s="28"/>
    </row>
    <row r="19" spans="1:11" ht="101" customHeight="1" x14ac:dyDescent="0.2">
      <c r="A19" s="14" t="s">
        <v>57</v>
      </c>
      <c r="B19" s="12">
        <v>5</v>
      </c>
      <c r="C19" s="12">
        <v>1</v>
      </c>
      <c r="D19" s="6">
        <v>0</v>
      </c>
      <c r="E19" s="13" t="s">
        <v>58</v>
      </c>
      <c r="F19" s="13" t="s">
        <v>59</v>
      </c>
      <c r="G19" s="13" t="s">
        <v>60</v>
      </c>
      <c r="H19" s="13" t="s">
        <v>61</v>
      </c>
      <c r="I19" s="13" t="s">
        <v>62</v>
      </c>
      <c r="J19" s="13" t="s">
        <v>63</v>
      </c>
      <c r="K19" s="28"/>
    </row>
    <row r="20" spans="1:11" ht="175" customHeight="1" x14ac:dyDescent="0.2">
      <c r="A20" s="14" t="s">
        <v>64</v>
      </c>
      <c r="B20" s="12">
        <v>5</v>
      </c>
      <c r="C20" s="12">
        <v>1</v>
      </c>
      <c r="D20" s="6">
        <v>0</v>
      </c>
      <c r="E20" s="13" t="s">
        <v>65</v>
      </c>
      <c r="F20" s="13" t="s">
        <v>66</v>
      </c>
      <c r="G20" s="13" t="s">
        <v>67</v>
      </c>
      <c r="H20" s="13" t="s">
        <v>68</v>
      </c>
      <c r="I20" s="13" t="s">
        <v>69</v>
      </c>
      <c r="J20" s="13" t="s">
        <v>43</v>
      </c>
      <c r="K20" s="28"/>
    </row>
    <row r="21" spans="1:11" ht="162" customHeight="1" x14ac:dyDescent="0.2">
      <c r="A21" s="14" t="s">
        <v>70</v>
      </c>
      <c r="B21" s="12">
        <v>5</v>
      </c>
      <c r="C21" s="12">
        <v>4</v>
      </c>
      <c r="D21" s="6">
        <v>0</v>
      </c>
      <c r="E21" s="13" t="s">
        <v>71</v>
      </c>
      <c r="F21" s="13" t="s">
        <v>72</v>
      </c>
      <c r="G21" s="13" t="s">
        <v>73</v>
      </c>
      <c r="H21" s="13" t="s">
        <v>74</v>
      </c>
      <c r="I21" s="13" t="s">
        <v>75</v>
      </c>
      <c r="J21" s="13" t="s">
        <v>43</v>
      </c>
      <c r="K21" s="28"/>
    </row>
    <row r="22" spans="1:11" s="5" customFormat="1" ht="25" customHeight="1" x14ac:dyDescent="0.2">
      <c r="A22" s="15" t="s">
        <v>198</v>
      </c>
      <c r="B22" s="16">
        <f>B10*C10+B11*C11+B12*C12+B13*C13+B14*C14+B15*C15+B16*C16+B17*C17+B18*C18+B19*C19+B20*C20+B21*C21</f>
        <v>85</v>
      </c>
      <c r="C22" s="16"/>
      <c r="D22" s="16">
        <f>D10*C10+C11*D11+D12*C12+C13*D13+D14*C14+C15*D15+D16*C16+C17*D17+D18*C18+D19*C19+D20*C20+D21*C21</f>
        <v>0</v>
      </c>
      <c r="E22" s="16" t="s">
        <v>199</v>
      </c>
      <c r="F22" s="17">
        <f>ROUND(D22/B22*5+1,1)</f>
        <v>1</v>
      </c>
      <c r="G22" s="18"/>
      <c r="H22" s="19"/>
      <c r="I22" s="19"/>
      <c r="J22" s="19"/>
      <c r="K22" s="20"/>
    </row>
    <row r="23" spans="1:11" ht="34" customHeight="1" x14ac:dyDescent="0.2">
      <c r="A23" s="31" t="s">
        <v>76</v>
      </c>
      <c r="B23" s="31"/>
      <c r="C23" s="31"/>
      <c r="D23" s="31"/>
      <c r="E23" s="31"/>
      <c r="F23" s="31"/>
      <c r="G23" s="31"/>
      <c r="H23" s="31"/>
      <c r="I23" s="31"/>
      <c r="J23" s="31"/>
    </row>
    <row r="24" spans="1:11" ht="155" customHeight="1" x14ac:dyDescent="0.2">
      <c r="A24" s="14" t="s">
        <v>77</v>
      </c>
      <c r="B24" s="12">
        <v>5</v>
      </c>
      <c r="C24" s="12">
        <v>4</v>
      </c>
      <c r="D24" s="6">
        <v>0</v>
      </c>
      <c r="E24" s="13" t="s">
        <v>201</v>
      </c>
      <c r="F24" s="13" t="s">
        <v>78</v>
      </c>
      <c r="G24" s="13" t="s">
        <v>79</v>
      </c>
      <c r="H24" s="13" t="s">
        <v>80</v>
      </c>
      <c r="I24" s="13" t="s">
        <v>81</v>
      </c>
      <c r="J24" s="13" t="s">
        <v>82</v>
      </c>
      <c r="K24" s="28"/>
    </row>
    <row r="25" spans="1:11" ht="200" customHeight="1" x14ac:dyDescent="0.2">
      <c r="A25" s="14" t="s">
        <v>83</v>
      </c>
      <c r="B25" s="12">
        <v>5</v>
      </c>
      <c r="C25" s="12">
        <v>1</v>
      </c>
      <c r="D25" s="6">
        <v>0</v>
      </c>
      <c r="E25" s="13" t="s">
        <v>84</v>
      </c>
      <c r="F25" s="13" t="s">
        <v>85</v>
      </c>
      <c r="G25" s="13" t="s">
        <v>86</v>
      </c>
      <c r="H25" s="13" t="s">
        <v>87</v>
      </c>
      <c r="I25" s="13" t="s">
        <v>88</v>
      </c>
      <c r="J25" s="13" t="s">
        <v>89</v>
      </c>
      <c r="K25" s="28"/>
    </row>
    <row r="26" spans="1:11" ht="118" customHeight="1" x14ac:dyDescent="0.2">
      <c r="A26" s="14" t="s">
        <v>90</v>
      </c>
      <c r="B26" s="12">
        <v>5</v>
      </c>
      <c r="C26" s="12">
        <v>2</v>
      </c>
      <c r="D26" s="6">
        <v>0</v>
      </c>
      <c r="E26" s="13" t="s">
        <v>91</v>
      </c>
      <c r="F26" s="13" t="s">
        <v>92</v>
      </c>
      <c r="G26" s="13" t="s">
        <v>93</v>
      </c>
      <c r="H26" s="13" t="s">
        <v>94</v>
      </c>
      <c r="I26" s="13" t="s">
        <v>95</v>
      </c>
      <c r="J26" s="13" t="s">
        <v>43</v>
      </c>
      <c r="K26" s="28"/>
    </row>
    <row r="27" spans="1:11" ht="137" customHeight="1" x14ac:dyDescent="0.2">
      <c r="A27" s="14" t="s">
        <v>96</v>
      </c>
      <c r="B27" s="12">
        <v>5</v>
      </c>
      <c r="C27" s="12">
        <v>1</v>
      </c>
      <c r="D27" s="6">
        <v>0</v>
      </c>
      <c r="E27" s="13" t="s">
        <v>97</v>
      </c>
      <c r="F27" s="13" t="s">
        <v>98</v>
      </c>
      <c r="G27" s="13" t="s">
        <v>99</v>
      </c>
      <c r="H27" s="13" t="s">
        <v>100</v>
      </c>
      <c r="I27" s="13" t="s">
        <v>101</v>
      </c>
      <c r="J27" s="13" t="s">
        <v>102</v>
      </c>
      <c r="K27" s="28"/>
    </row>
    <row r="28" spans="1:11" ht="122" customHeight="1" x14ac:dyDescent="0.2">
      <c r="A28" s="14" t="s">
        <v>103</v>
      </c>
      <c r="B28" s="12">
        <v>5</v>
      </c>
      <c r="C28" s="12">
        <v>4</v>
      </c>
      <c r="D28" s="6">
        <v>0</v>
      </c>
      <c r="E28" s="13" t="s">
        <v>211</v>
      </c>
      <c r="F28" s="13" t="s">
        <v>212</v>
      </c>
      <c r="G28" s="13" t="s">
        <v>213</v>
      </c>
      <c r="H28" s="13" t="s">
        <v>214</v>
      </c>
      <c r="I28" s="13" t="s">
        <v>215</v>
      </c>
      <c r="J28" s="13" t="s">
        <v>43</v>
      </c>
      <c r="K28" s="28"/>
    </row>
    <row r="29" spans="1:11" ht="25" customHeight="1" x14ac:dyDescent="0.2">
      <c r="A29" s="15" t="s">
        <v>200</v>
      </c>
      <c r="B29" s="16">
        <f>B24*C24+C25*B25+B26*C26+C27*B27+B28*C28</f>
        <v>60</v>
      </c>
      <c r="C29" s="16"/>
      <c r="D29" s="16">
        <f>C24*D24+D25*C25+C26*D26+D27*C27+C28*D28</f>
        <v>0</v>
      </c>
      <c r="E29" s="16" t="s">
        <v>199</v>
      </c>
      <c r="F29" s="17">
        <f>ROUND(D29/B29*5+1,1)</f>
        <v>1</v>
      </c>
      <c r="K29" s="3"/>
    </row>
    <row r="30" spans="1:11" ht="27" customHeight="1" x14ac:dyDescent="0.2">
      <c r="A30" s="32" t="s">
        <v>104</v>
      </c>
      <c r="B30" s="32"/>
      <c r="C30" s="32"/>
      <c r="D30" s="32"/>
      <c r="E30" s="32"/>
      <c r="F30" s="32"/>
      <c r="G30" s="32"/>
      <c r="H30" s="32"/>
      <c r="I30" s="32"/>
      <c r="J30" s="32"/>
    </row>
    <row r="31" spans="1:11" ht="117.75" customHeight="1" x14ac:dyDescent="0.2">
      <c r="A31" s="14" t="s">
        <v>105</v>
      </c>
      <c r="B31" s="12">
        <v>5</v>
      </c>
      <c r="C31" s="12">
        <v>1</v>
      </c>
      <c r="D31" s="6">
        <v>0</v>
      </c>
      <c r="E31" s="13" t="s">
        <v>106</v>
      </c>
      <c r="F31" s="13" t="s">
        <v>107</v>
      </c>
      <c r="G31" s="13" t="s">
        <v>108</v>
      </c>
      <c r="H31" s="13" t="s">
        <v>109</v>
      </c>
      <c r="I31" s="13" t="s">
        <v>110</v>
      </c>
      <c r="J31" s="13" t="s">
        <v>111</v>
      </c>
      <c r="K31" s="28"/>
    </row>
    <row r="32" spans="1:11" ht="98" x14ac:dyDescent="0.2">
      <c r="A32" s="11" t="s">
        <v>112</v>
      </c>
      <c r="B32" s="12">
        <v>5</v>
      </c>
      <c r="C32" s="12">
        <v>2</v>
      </c>
      <c r="D32" s="6">
        <v>0</v>
      </c>
      <c r="E32" s="13" t="s">
        <v>113</v>
      </c>
      <c r="F32" s="13" t="s">
        <v>114</v>
      </c>
      <c r="G32" s="13" t="s">
        <v>115</v>
      </c>
      <c r="H32" s="13" t="s">
        <v>116</v>
      </c>
      <c r="I32" s="13" t="s">
        <v>117</v>
      </c>
      <c r="J32" s="13" t="s">
        <v>111</v>
      </c>
      <c r="K32" s="28"/>
    </row>
    <row r="33" spans="1:11" ht="270" customHeight="1" x14ac:dyDescent="0.2">
      <c r="A33" s="11" t="s">
        <v>118</v>
      </c>
      <c r="B33" s="12">
        <v>5</v>
      </c>
      <c r="C33" s="12">
        <v>2</v>
      </c>
      <c r="D33" s="6">
        <v>0</v>
      </c>
      <c r="E33" s="13" t="s">
        <v>119</v>
      </c>
      <c r="F33" s="13" t="s">
        <v>120</v>
      </c>
      <c r="G33" s="13" t="s">
        <v>121</v>
      </c>
      <c r="H33" s="13" t="s">
        <v>122</v>
      </c>
      <c r="I33" s="13" t="s">
        <v>123</v>
      </c>
      <c r="J33" s="13" t="s">
        <v>111</v>
      </c>
      <c r="K33" s="28"/>
    </row>
    <row r="34" spans="1:11" ht="389" customHeight="1" x14ac:dyDescent="0.2">
      <c r="A34" s="11" t="s">
        <v>124</v>
      </c>
      <c r="B34" s="12">
        <v>5</v>
      </c>
      <c r="C34" s="12">
        <v>4</v>
      </c>
      <c r="D34" s="6">
        <v>0</v>
      </c>
      <c r="E34" s="13" t="s">
        <v>125</v>
      </c>
      <c r="F34" s="13" t="s">
        <v>126</v>
      </c>
      <c r="G34" s="13" t="s">
        <v>127</v>
      </c>
      <c r="H34" s="13" t="s">
        <v>128</v>
      </c>
      <c r="I34" s="13" t="s">
        <v>129</v>
      </c>
      <c r="J34" s="13" t="s">
        <v>43</v>
      </c>
      <c r="K34" s="28"/>
    </row>
    <row r="35" spans="1:11" ht="117" customHeight="1" x14ac:dyDescent="0.2">
      <c r="A35" s="14" t="s">
        <v>130</v>
      </c>
      <c r="B35" s="12">
        <v>5</v>
      </c>
      <c r="C35" s="12">
        <v>1</v>
      </c>
      <c r="D35" s="6">
        <v>0</v>
      </c>
      <c r="E35" s="13" t="s">
        <v>131</v>
      </c>
      <c r="F35" s="13" t="s">
        <v>132</v>
      </c>
      <c r="G35" s="13" t="s">
        <v>133</v>
      </c>
      <c r="H35" s="13" t="s">
        <v>134</v>
      </c>
      <c r="I35" s="13" t="s">
        <v>135</v>
      </c>
      <c r="J35" s="13" t="s">
        <v>111</v>
      </c>
      <c r="K35" s="28"/>
    </row>
    <row r="36" spans="1:11" ht="98" x14ac:dyDescent="0.2">
      <c r="A36" s="14" t="s">
        <v>136</v>
      </c>
      <c r="B36" s="12">
        <v>5</v>
      </c>
      <c r="C36" s="12">
        <v>1</v>
      </c>
      <c r="D36" s="6">
        <v>0</v>
      </c>
      <c r="E36" s="13" t="s">
        <v>137</v>
      </c>
      <c r="F36" s="13" t="s">
        <v>138</v>
      </c>
      <c r="G36" s="13" t="s">
        <v>139</v>
      </c>
      <c r="H36" s="13" t="s">
        <v>140</v>
      </c>
      <c r="I36" s="13" t="s">
        <v>141</v>
      </c>
      <c r="J36" s="13" t="s">
        <v>111</v>
      </c>
      <c r="K36" s="28"/>
    </row>
    <row r="37" spans="1:11" ht="276" customHeight="1" x14ac:dyDescent="0.2">
      <c r="A37" s="14" t="s">
        <v>142</v>
      </c>
      <c r="B37" s="12">
        <v>5</v>
      </c>
      <c r="C37" s="12">
        <v>1</v>
      </c>
      <c r="D37" s="6">
        <v>0</v>
      </c>
      <c r="E37" s="13" t="s">
        <v>143</v>
      </c>
      <c r="F37" s="13" t="s">
        <v>144</v>
      </c>
      <c r="G37" s="13" t="s">
        <v>145</v>
      </c>
      <c r="H37" s="13" t="s">
        <v>146</v>
      </c>
      <c r="I37" s="13" t="s">
        <v>147</v>
      </c>
      <c r="J37" s="13" t="s">
        <v>111</v>
      </c>
      <c r="K37" s="28"/>
    </row>
    <row r="38" spans="1:11" ht="409" customHeight="1" x14ac:dyDescent="0.2">
      <c r="A38" s="14" t="s">
        <v>148</v>
      </c>
      <c r="B38" s="12">
        <v>5</v>
      </c>
      <c r="C38" s="12">
        <v>1</v>
      </c>
      <c r="D38" s="6">
        <v>0</v>
      </c>
      <c r="E38" s="13" t="s">
        <v>231</v>
      </c>
      <c r="F38" s="13" t="s">
        <v>149</v>
      </c>
      <c r="G38" s="13" t="s">
        <v>150</v>
      </c>
      <c r="H38" s="13" t="s">
        <v>151</v>
      </c>
      <c r="I38" s="13" t="s">
        <v>152</v>
      </c>
      <c r="J38" s="13" t="s">
        <v>111</v>
      </c>
      <c r="K38" s="28"/>
    </row>
    <row r="39" spans="1:11" ht="109" customHeight="1" x14ac:dyDescent="0.2">
      <c r="A39" s="14" t="s">
        <v>153</v>
      </c>
      <c r="B39" s="12">
        <v>5</v>
      </c>
      <c r="C39" s="12">
        <v>4</v>
      </c>
      <c r="D39" s="6">
        <v>0</v>
      </c>
      <c r="E39" s="13" t="s">
        <v>154</v>
      </c>
      <c r="F39" s="13" t="s">
        <v>155</v>
      </c>
      <c r="G39" s="13" t="s">
        <v>156</v>
      </c>
      <c r="H39" s="13" t="s">
        <v>157</v>
      </c>
      <c r="I39" s="13" t="s">
        <v>158</v>
      </c>
      <c r="J39" s="13" t="s">
        <v>43</v>
      </c>
      <c r="K39" s="28"/>
    </row>
    <row r="40" spans="1:11" ht="148" customHeight="1" x14ac:dyDescent="0.2">
      <c r="A40" s="14" t="s">
        <v>159</v>
      </c>
      <c r="B40" s="12">
        <v>5</v>
      </c>
      <c r="C40" s="12">
        <v>1</v>
      </c>
      <c r="D40" s="6">
        <v>0</v>
      </c>
      <c r="E40" s="13" t="s">
        <v>160</v>
      </c>
      <c r="F40" s="13" t="s">
        <v>161</v>
      </c>
      <c r="G40" s="13" t="s">
        <v>162</v>
      </c>
      <c r="H40" s="13" t="s">
        <v>163</v>
      </c>
      <c r="I40" s="13" t="s">
        <v>164</v>
      </c>
      <c r="J40" s="13" t="s">
        <v>43</v>
      </c>
      <c r="K40" s="28"/>
    </row>
    <row r="41" spans="1:11" ht="149" customHeight="1" x14ac:dyDescent="0.2">
      <c r="A41" s="14" t="s">
        <v>165</v>
      </c>
      <c r="B41" s="12">
        <v>5</v>
      </c>
      <c r="C41" s="12">
        <v>1</v>
      </c>
      <c r="D41" s="6">
        <v>0</v>
      </c>
      <c r="E41" s="13" t="s">
        <v>166</v>
      </c>
      <c r="F41" s="13" t="s">
        <v>167</v>
      </c>
      <c r="G41" s="13" t="s">
        <v>168</v>
      </c>
      <c r="H41" s="13" t="s">
        <v>169</v>
      </c>
      <c r="I41" s="13" t="s">
        <v>170</v>
      </c>
      <c r="J41" s="13" t="s">
        <v>43</v>
      </c>
      <c r="K41" s="28"/>
    </row>
    <row r="42" spans="1:11" ht="295" customHeight="1" x14ac:dyDescent="0.2">
      <c r="A42" s="14" t="s">
        <v>189</v>
      </c>
      <c r="B42" s="12">
        <v>5</v>
      </c>
      <c r="C42" s="12">
        <v>1</v>
      </c>
      <c r="D42" s="6">
        <v>0</v>
      </c>
      <c r="E42" s="13" t="s">
        <v>171</v>
      </c>
      <c r="F42" s="13" t="s">
        <v>172</v>
      </c>
      <c r="G42" s="13" t="s">
        <v>173</v>
      </c>
      <c r="H42" s="13" t="s">
        <v>174</v>
      </c>
      <c r="I42" s="13" t="s">
        <v>175</v>
      </c>
      <c r="J42" s="13" t="s">
        <v>43</v>
      </c>
      <c r="K42" s="28"/>
    </row>
    <row r="43" spans="1:11" ht="201" customHeight="1" x14ac:dyDescent="0.2">
      <c r="A43" s="14" t="s">
        <v>176</v>
      </c>
      <c r="B43" s="12">
        <v>5</v>
      </c>
      <c r="C43" s="12">
        <v>1</v>
      </c>
      <c r="D43" s="6">
        <v>0</v>
      </c>
      <c r="E43" s="13" t="s">
        <v>177</v>
      </c>
      <c r="F43" s="13" t="s">
        <v>178</v>
      </c>
      <c r="G43" s="13" t="s">
        <v>179</v>
      </c>
      <c r="H43" s="13" t="s">
        <v>180</v>
      </c>
      <c r="I43" s="13" t="s">
        <v>181</v>
      </c>
      <c r="J43" s="13" t="s">
        <v>43</v>
      </c>
      <c r="K43" s="28"/>
    </row>
    <row r="44" spans="1:11" ht="296" customHeight="1" x14ac:dyDescent="0.2">
      <c r="A44" s="14" t="s">
        <v>182</v>
      </c>
      <c r="B44" s="12">
        <v>5</v>
      </c>
      <c r="C44" s="12">
        <v>1</v>
      </c>
      <c r="D44" s="6">
        <v>0</v>
      </c>
      <c r="E44" s="13" t="s">
        <v>183</v>
      </c>
      <c r="F44" s="13" t="s">
        <v>184</v>
      </c>
      <c r="G44" s="13" t="s">
        <v>185</v>
      </c>
      <c r="H44" s="13" t="s">
        <v>186</v>
      </c>
      <c r="I44" s="13" t="s">
        <v>187</v>
      </c>
      <c r="J44" s="13" t="s">
        <v>43</v>
      </c>
      <c r="K44" s="28"/>
    </row>
    <row r="45" spans="1:11" ht="227" customHeight="1" x14ac:dyDescent="0.2">
      <c r="A45" s="14" t="s">
        <v>188</v>
      </c>
      <c r="B45" s="12">
        <v>5</v>
      </c>
      <c r="C45" s="12">
        <v>4</v>
      </c>
      <c r="D45" s="6">
        <v>0</v>
      </c>
      <c r="E45" s="13" t="s">
        <v>216</v>
      </c>
      <c r="F45" s="13" t="s">
        <v>217</v>
      </c>
      <c r="G45" s="13" t="s">
        <v>218</v>
      </c>
      <c r="H45" s="13" t="s">
        <v>219</v>
      </c>
      <c r="I45" s="13" t="s">
        <v>220</v>
      </c>
      <c r="J45" s="13" t="s">
        <v>43</v>
      </c>
      <c r="K45" s="28"/>
    </row>
    <row r="46" spans="1:11" ht="17" x14ac:dyDescent="0.2">
      <c r="A46" s="15" t="s">
        <v>202</v>
      </c>
      <c r="B46" s="16">
        <f>B31*C31+C32*B32+B33*C33+C34*B34+B35*C35+C36*B36+B37*C37+C38*B38+B39*C39+C40*B40+B41*C41+C42*B42+B43*C43+B44*C44+C45*B45</f>
        <v>130</v>
      </c>
      <c r="C46" s="16"/>
      <c r="D46" s="16">
        <f>D31*C31+C32*D32+D33*C33+C34*D34+D35*C35+C36*D36+D37*C37+C38*D38+D39*C39+C40*D40+D41*C41+C42*D42+D43*C43+C44*D44+D45*C45</f>
        <v>0</v>
      </c>
      <c r="E46" s="16" t="s">
        <v>199</v>
      </c>
      <c r="F46" s="17">
        <f>ROUND(D46/B46*5+1,1)</f>
        <v>1</v>
      </c>
    </row>
  </sheetData>
  <sheetProtection algorithmName="SHA-512" hashValue="KBjNFBpWxqH5XUHwE7LT8bQiK4GF3kQV/E0uuJezW+Vo6K8//cnz+JVLJEJteHLJaDpFj60bzR0cxAjpkivYKw==" saltValue="/oeW2s0n8TwsJ9TK2iWwrQ==" spinCount="100000" sheet="1" objects="1" scenarios="1" selectLockedCells="1"/>
  <mergeCells count="8">
    <mergeCell ref="A1:G1"/>
    <mergeCell ref="A9:J9"/>
    <mergeCell ref="A23:J23"/>
    <mergeCell ref="A30:J30"/>
    <mergeCell ref="B2:J2"/>
    <mergeCell ref="B3:J3"/>
    <mergeCell ref="B4:J4"/>
    <mergeCell ref="B5:J5"/>
  </mergeCells>
  <dataValidations count="2">
    <dataValidation type="list" allowBlank="1" showInputMessage="1" showErrorMessage="1" promptTitle="0-5" prompt="Es sind ganze Zahlen zwischen 0 und 5 möglich." sqref="D10:D21 D24:D28 D31:D45" xr:uid="{FE3E7750-7424-9646-8861-44BB81E2ED6C}">
      <formula1>"5,4,3,2,1,0"</formula1>
    </dataValidation>
    <dataValidation type="list" allowBlank="1" showInputMessage="1" showErrorMessage="1" sqref="B4:J4" xr:uid="{D1446DE4-E05D-684C-83A4-58CC3DB77D61}">
      <formula1>"Elektrotechnik,Energie/Umwelt,Gebäudeautomation,Informatik,Maschinenbau,Systemtechnik,Prozesstechnik"</formula1>
    </dataValidation>
  </dataValidations>
  <pageMargins left="0.70866141732283505" right="0.70866141732283505" top="0.78740157480314998" bottom="0.78740157480314998" header="0.31496062992126" footer="0.31496062992126"/>
  <pageSetup paperSize="9" scale="60" fitToHeight="0" orientation="landscape" useFirstPageNumber="1" horizontalDpi="4294967293" verticalDpi="0" r:id="rId1"/>
  <headerFooter>
    <oddHeader>&amp;L&amp;"System Font,Standard"&amp;10&amp;K000000Diplomarbeitsbeurteilung&amp;R&amp;G</oddHeader>
    <oddFooter>&amp;C&amp;"Calibri,Standard"&amp;K000000&amp;P/&amp;N&amp;R&amp;"Calibri,Standard"&amp;K000000&amp;G</oddFooter>
  </headerFooter>
  <rowBreaks count="2" manualBreakCount="2">
    <brk id="22" max="16383" man="1"/>
    <brk id="29"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45C3-C811-B949-9F23-36DEF107583E}">
  <dimension ref="A1:G21"/>
  <sheetViews>
    <sheetView zoomScaleNormal="100" workbookViewId="0">
      <selection activeCell="A10" sqref="A10:G11"/>
    </sheetView>
  </sheetViews>
  <sheetFormatPr baseColWidth="10" defaultColWidth="10.83203125" defaultRowHeight="14" x14ac:dyDescent="0.15"/>
  <cols>
    <col min="1" max="1" width="16.5" style="21" customWidth="1"/>
    <col min="2" max="6" width="10.83203125" style="21"/>
    <col min="7" max="7" width="10.83203125" style="21" customWidth="1"/>
    <col min="8" max="16384" width="10.83203125" style="21"/>
  </cols>
  <sheetData>
    <row r="1" spans="1:7" ht="18" x14ac:dyDescent="0.2">
      <c r="A1" s="22" t="s">
        <v>230</v>
      </c>
    </row>
    <row r="2" spans="1:7" ht="16" x14ac:dyDescent="0.2">
      <c r="A2" s="23"/>
      <c r="B2" s="23"/>
      <c r="C2" s="23"/>
      <c r="D2" s="23"/>
      <c r="E2" s="23"/>
      <c r="F2" s="23"/>
      <c r="G2" s="23"/>
    </row>
    <row r="3" spans="1:7" ht="16" x14ac:dyDescent="0.2">
      <c r="A3" s="23" t="s">
        <v>221</v>
      </c>
      <c r="B3" s="35" t="str">
        <f>Bewertung!B3</f>
        <v>&lt;Vorname Name&gt;</v>
      </c>
      <c r="C3" s="35"/>
      <c r="D3" s="35"/>
      <c r="E3" s="35"/>
      <c r="F3" s="35"/>
      <c r="G3" s="35"/>
    </row>
    <row r="4" spans="1:7" ht="16" x14ac:dyDescent="0.2">
      <c r="A4" s="23" t="s">
        <v>205</v>
      </c>
      <c r="B4" s="35">
        <f>Bewertung!B2</f>
        <v>2026</v>
      </c>
      <c r="C4" s="35"/>
      <c r="D4" s="35"/>
      <c r="E4" s="35"/>
      <c r="F4" s="35"/>
      <c r="G4" s="35"/>
    </row>
    <row r="5" spans="1:7" ht="16" x14ac:dyDescent="0.2">
      <c r="A5" s="23" t="s">
        <v>222</v>
      </c>
      <c r="B5" s="35" t="str">
        <f>Bewertung!B5</f>
        <v>&lt;Gemäss Liste eingeben&gt;</v>
      </c>
      <c r="C5" s="35"/>
      <c r="D5" s="35"/>
      <c r="E5" s="35"/>
      <c r="F5" s="35"/>
      <c r="G5" s="35"/>
    </row>
    <row r="6" spans="1:7" ht="16" x14ac:dyDescent="0.2">
      <c r="A6" s="23" t="s">
        <v>208</v>
      </c>
      <c r="B6" s="35">
        <f>Bewertung!B4</f>
        <v>0</v>
      </c>
      <c r="C6" s="35"/>
      <c r="D6" s="35"/>
      <c r="E6" s="35"/>
      <c r="F6" s="35"/>
      <c r="G6" s="35"/>
    </row>
    <row r="7" spans="1:7" ht="16" x14ac:dyDescent="0.2">
      <c r="A7" s="23"/>
      <c r="B7" s="23"/>
      <c r="C7" s="23"/>
      <c r="D7" s="23"/>
      <c r="E7" s="23"/>
      <c r="F7" s="23"/>
      <c r="G7" s="23"/>
    </row>
    <row r="8" spans="1:7" ht="16" x14ac:dyDescent="0.2">
      <c r="A8" s="23" t="s">
        <v>223</v>
      </c>
      <c r="B8" s="23"/>
      <c r="C8" s="23"/>
      <c r="D8" s="23"/>
      <c r="E8" s="23"/>
      <c r="F8" s="23"/>
      <c r="G8" s="23"/>
    </row>
    <row r="9" spans="1:7" ht="16" x14ac:dyDescent="0.2">
      <c r="A9" s="23"/>
      <c r="B9" s="23"/>
      <c r="C9" s="23"/>
      <c r="D9" s="23"/>
      <c r="E9" s="23"/>
      <c r="F9" s="23"/>
      <c r="G9" s="23"/>
    </row>
    <row r="10" spans="1:7" ht="257" customHeight="1" x14ac:dyDescent="0.15">
      <c r="A10" s="37"/>
      <c r="B10" s="37"/>
      <c r="C10" s="37"/>
      <c r="D10" s="37"/>
      <c r="E10" s="37"/>
      <c r="F10" s="37"/>
      <c r="G10" s="37"/>
    </row>
    <row r="11" spans="1:7" ht="58" customHeight="1" x14ac:dyDescent="0.15">
      <c r="A11" s="37"/>
      <c r="B11" s="37"/>
      <c r="C11" s="37"/>
      <c r="D11" s="37"/>
      <c r="E11" s="37"/>
      <c r="F11" s="37"/>
      <c r="G11" s="37"/>
    </row>
    <row r="12" spans="1:7" ht="16" customHeight="1" x14ac:dyDescent="0.15">
      <c r="A12" s="26"/>
      <c r="B12" s="26"/>
      <c r="C12" s="26"/>
      <c r="D12" s="26"/>
      <c r="E12" s="26"/>
      <c r="F12" s="26"/>
      <c r="G12" s="26"/>
    </row>
    <row r="13" spans="1:7" s="27" customFormat="1" ht="23" customHeight="1" x14ac:dyDescent="0.2">
      <c r="A13" s="36" t="s">
        <v>2</v>
      </c>
      <c r="B13" s="36"/>
      <c r="C13" s="39">
        <f>Bewertung!F22</f>
        <v>1</v>
      </c>
      <c r="D13" s="39"/>
      <c r="E13" s="25"/>
      <c r="F13" s="25"/>
      <c r="G13" s="25"/>
    </row>
    <row r="14" spans="1:7" s="27" customFormat="1" ht="23" customHeight="1" x14ac:dyDescent="0.2">
      <c r="A14" s="36" t="s">
        <v>76</v>
      </c>
      <c r="B14" s="36"/>
      <c r="C14" s="39">
        <f>Bewertung!F29</f>
        <v>1</v>
      </c>
      <c r="D14" s="39"/>
      <c r="E14" s="42"/>
      <c r="F14" s="42"/>
      <c r="G14" s="25"/>
    </row>
    <row r="15" spans="1:7" s="27" customFormat="1" ht="23" customHeight="1" x14ac:dyDescent="0.2">
      <c r="A15" s="36" t="s">
        <v>226</v>
      </c>
      <c r="B15" s="36"/>
      <c r="C15" s="39">
        <f>Bewertung!F46</f>
        <v>1</v>
      </c>
      <c r="D15" s="39"/>
      <c r="E15" s="25"/>
      <c r="F15" s="25"/>
      <c r="G15" s="25"/>
    </row>
    <row r="16" spans="1:7" s="27" customFormat="1" ht="23" customHeight="1" x14ac:dyDescent="0.2">
      <c r="A16" s="38" t="s">
        <v>227</v>
      </c>
      <c r="B16" s="38"/>
      <c r="C16" s="40">
        <f>AVERAGE(C13:D15)</f>
        <v>1</v>
      </c>
      <c r="D16" s="40"/>
      <c r="E16" s="25"/>
      <c r="F16" s="25"/>
      <c r="G16" s="25"/>
    </row>
    <row r="17" spans="1:7" ht="16" x14ac:dyDescent="0.2">
      <c r="A17" s="23"/>
      <c r="B17" s="23"/>
      <c r="C17" s="23"/>
      <c r="D17" s="23"/>
      <c r="E17" s="23"/>
      <c r="F17" s="23"/>
      <c r="G17" s="23"/>
    </row>
    <row r="18" spans="1:7" s="24" customFormat="1" ht="21" customHeight="1" x14ac:dyDescent="0.2">
      <c r="A18" s="36" t="s">
        <v>228</v>
      </c>
      <c r="B18" s="36"/>
      <c r="C18" s="41"/>
      <c r="D18" s="41"/>
      <c r="E18" s="41"/>
      <c r="F18" s="41"/>
      <c r="G18" s="41"/>
    </row>
    <row r="19" spans="1:7" s="24" customFormat="1" ht="21" customHeight="1" x14ac:dyDescent="0.2">
      <c r="A19" s="36" t="s">
        <v>229</v>
      </c>
      <c r="B19" s="36"/>
      <c r="C19" s="41"/>
      <c r="D19" s="41"/>
      <c r="E19" s="41"/>
      <c r="F19" s="41"/>
      <c r="G19" s="41"/>
    </row>
    <row r="20" spans="1:7" s="24" customFormat="1" ht="21" customHeight="1" x14ac:dyDescent="0.2">
      <c r="A20" s="36" t="s">
        <v>224</v>
      </c>
      <c r="B20" s="36"/>
      <c r="C20" s="41"/>
      <c r="D20" s="41"/>
      <c r="E20" s="41"/>
      <c r="F20" s="41"/>
      <c r="G20" s="41"/>
    </row>
    <row r="21" spans="1:7" ht="75" customHeight="1" x14ac:dyDescent="0.2">
      <c r="A21" s="23" t="s">
        <v>225</v>
      </c>
      <c r="C21" s="34"/>
      <c r="D21" s="34"/>
      <c r="E21" s="34"/>
      <c r="F21" s="34"/>
      <c r="G21" s="34"/>
    </row>
  </sheetData>
  <sheetProtection algorithmName="SHA-512" hashValue="yzZqoE09Lq5+h/siavjjxrKnw5qL0AlLcrUMz7BWzNcZel7U7d0VNFl1hZd9pXpN3A3pTZ9A09WQ9wujpgE0GA==" saltValue="YBZvxkZi+hGwM7PokAMSKw==" spinCount="100000" sheet="1" objects="1" scenarios="1" selectLockedCells="1"/>
  <mergeCells count="21">
    <mergeCell ref="A20:B20"/>
    <mergeCell ref="C18:G18"/>
    <mergeCell ref="C19:G19"/>
    <mergeCell ref="C20:G20"/>
    <mergeCell ref="E14:F14"/>
    <mergeCell ref="C21:G21"/>
    <mergeCell ref="B3:G3"/>
    <mergeCell ref="B4:G4"/>
    <mergeCell ref="B5:G5"/>
    <mergeCell ref="B6:G6"/>
    <mergeCell ref="A18:B18"/>
    <mergeCell ref="A10:G11"/>
    <mergeCell ref="A13:B13"/>
    <mergeCell ref="A14:B14"/>
    <mergeCell ref="A15:B15"/>
    <mergeCell ref="A16:B16"/>
    <mergeCell ref="C13:D13"/>
    <mergeCell ref="C14:D14"/>
    <mergeCell ref="C15:D15"/>
    <mergeCell ref="C16:D16"/>
    <mergeCell ref="A19:B19"/>
  </mergeCells>
  <pageMargins left="0.7" right="0.7" top="0.78740157499999996" bottom="0.78740157499999996" header="0.3" footer="0.3"/>
  <pageSetup paperSize="9" orientation="portrait" horizontalDpi="0" verticalDpi="0"/>
  <headerFooter>
    <oddHeader>&amp;R&amp;"System Font,Standard"&amp;10&amp;K000000&amp;G</oddHead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966CD11EF470644596A81A75904E9A0C" ma:contentTypeVersion="15" ma:contentTypeDescription="Ein neues Dokument erstellen." ma:contentTypeScope="" ma:versionID="16a528afdefd7d15a0ee51905af553fa">
  <xsd:schema xmlns:xsd="http://www.w3.org/2001/XMLSchema" xmlns:xs="http://www.w3.org/2001/XMLSchema" xmlns:p="http://schemas.microsoft.com/office/2006/metadata/properties" xmlns:ns2="88ff9b72-8989-41c3-a598-62443ec21c89" xmlns:ns3="cf2e581e-e7db-403f-948e-e319f6b24f52" xmlns:ns4="86f3e79f-0154-4c5f-8249-3ca5971427f5" targetNamespace="http://schemas.microsoft.com/office/2006/metadata/properties" ma:root="true" ma:fieldsID="8b350c6c34ea8ed66487fff2f257daf7" ns2:_="" ns3:_="" ns4:_="">
    <xsd:import namespace="88ff9b72-8989-41c3-a598-62443ec21c89"/>
    <xsd:import namespace="cf2e581e-e7db-403f-948e-e319f6b24f52"/>
    <xsd:import namespace="86f3e79f-0154-4c5f-8249-3ca5971427f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ff9b72-8989-41c3-a598-62443ec21c89"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2e581e-e7db-403f-948e-e319f6b24f5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6602bf8f-6a5a-4450-b148-066dff9cdf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6f3e79f-0154-4c5f-8249-3ca5971427f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d575ea7-1af8-457a-a05e-ffb98810f21f}" ma:internalName="TaxCatchAll" ma:showField="CatchAllData" ma:web="86f3e79f-0154-4c5f-8249-3ca5971427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6f3e79f-0154-4c5f-8249-3ca5971427f5" xsi:nil="true"/>
    <lcf76f155ced4ddcb4097134ff3c332f xmlns="cf2e581e-e7db-403f-948e-e319f6b24f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03ED06-B2F3-4B77-BC9B-7E998A808187}">
  <ds:schemaRefs>
    <ds:schemaRef ds:uri="http://schemas.microsoft.com/sharepoint/v3/contenttype/forms"/>
  </ds:schemaRefs>
</ds:datastoreItem>
</file>

<file path=customXml/itemProps2.xml><?xml version="1.0" encoding="utf-8"?>
<ds:datastoreItem xmlns:ds="http://schemas.openxmlformats.org/officeDocument/2006/customXml" ds:itemID="{5B46EBD8-FF28-4E49-A8C5-316FD82BB721}"/>
</file>

<file path=customXml/itemProps3.xml><?xml version="1.0" encoding="utf-8"?>
<ds:datastoreItem xmlns:ds="http://schemas.openxmlformats.org/officeDocument/2006/customXml" ds:itemID="{EF80A0E6-19A7-49B9-8D48-1D8038557F39}">
  <ds:schemaRefs>
    <ds:schemaRef ds:uri="http://schemas.microsoft.com/office/2006/metadata/properties"/>
    <ds:schemaRef ds:uri="http://schemas.microsoft.com/office/infopath/2007/PartnerControls"/>
    <ds:schemaRef ds:uri="88ff9b72-8989-41c3-a598-62443ec21c89"/>
    <ds:schemaRef ds:uri="cc037fb8-153b-472f-b5b6-7a6311f4b31a"/>
    <ds:schemaRef ds:uri="86f3e79f-0154-4c5f-8249-3ca5971427f5"/>
    <ds:schemaRef ds:uri="cf2e581e-e7db-403f-948e-e319f6b24f52"/>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Bewertung</vt:lpstr>
      <vt:lpstr>Feebackformular</vt:lpstr>
      <vt:lpstr>Bewertung!Druckbereich</vt:lpstr>
      <vt:lpstr>Bewertung!Drucktitel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Nadja Haller</dc:creator>
  <cp:keywords/>
  <dc:description/>
  <cp:lastModifiedBy>Kurt Munter</cp:lastModifiedBy>
  <cp:revision/>
  <cp:lastPrinted>2024-10-25T22:58:14Z</cp:lastPrinted>
  <dcterms:created xsi:type="dcterms:W3CDTF">2023-05-07T23:14:19Z</dcterms:created>
  <dcterms:modified xsi:type="dcterms:W3CDTF">2026-05-25T16:46:33Z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0x010100966CD11EF470644596A81A75904E9A0C</vt:lpwstr>
  </property>
  <property fmtid="{D5CDD505-2E9C-101B-9397-08002B2CF9AE}" pid="3" name="MediaServiceImageTags">
    <vt:lpwstr/>
  </property>
</Properties>
</file>